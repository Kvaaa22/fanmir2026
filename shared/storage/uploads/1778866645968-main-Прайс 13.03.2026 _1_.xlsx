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hgalter-pc\обмен\Прайс\2026\"/>
    </mc:Choice>
  </mc:AlternateContent>
  <xr:revisionPtr revIDLastSave="0" documentId="13_ncr:1_{A5C7623B-7D03-4D5D-8630-02EAD5D6A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Лист1!$A$1:$N$77</definedName>
  </definedNames>
  <calcPr calcId="191029" refMode="R1C1"/>
</workbook>
</file>

<file path=xl/calcChain.xml><?xml version="1.0" encoding="utf-8"?>
<calcChain xmlns="http://schemas.openxmlformats.org/spreadsheetml/2006/main">
  <c r="O72" i="1" l="1"/>
  <c r="O71" i="1"/>
  <c r="O70" i="1"/>
  <c r="O69" i="1"/>
  <c r="O65" i="1"/>
  <c r="S60" i="1"/>
  <c r="Q60" i="1"/>
  <c r="Y55" i="1"/>
  <c r="X55" i="1"/>
  <c r="W55" i="1"/>
  <c r="V55" i="1"/>
  <c r="U55" i="1"/>
  <c r="T55" i="1"/>
  <c r="S55" i="1"/>
  <c r="R55" i="1"/>
  <c r="Q55" i="1"/>
  <c r="P55" i="1"/>
  <c r="O55" i="1"/>
  <c r="Y54" i="1"/>
  <c r="X54" i="1"/>
  <c r="W54" i="1"/>
  <c r="V54" i="1"/>
  <c r="U54" i="1"/>
  <c r="T54" i="1"/>
  <c r="S54" i="1"/>
  <c r="R54" i="1"/>
  <c r="Q54" i="1"/>
  <c r="P54" i="1"/>
  <c r="O54" i="1"/>
  <c r="Y50" i="1"/>
  <c r="X50" i="1"/>
  <c r="W50" i="1"/>
  <c r="V50" i="1"/>
  <c r="U50" i="1"/>
  <c r="T50" i="1"/>
  <c r="S50" i="1"/>
  <c r="R50" i="1"/>
  <c r="Q50" i="1"/>
  <c r="P50" i="1"/>
  <c r="O50" i="1"/>
  <c r="Y49" i="1"/>
  <c r="X49" i="1"/>
  <c r="W49" i="1"/>
  <c r="V49" i="1"/>
  <c r="U49" i="1"/>
  <c r="T49" i="1"/>
  <c r="S49" i="1"/>
  <c r="R49" i="1"/>
  <c r="Q49" i="1"/>
  <c r="P49" i="1"/>
  <c r="O49" i="1"/>
  <c r="Z45" i="1"/>
  <c r="Y45" i="1"/>
  <c r="X45" i="1"/>
  <c r="W45" i="1"/>
  <c r="V45" i="1"/>
  <c r="U45" i="1"/>
  <c r="T45" i="1"/>
  <c r="S45" i="1"/>
  <c r="R45" i="1"/>
  <c r="Q45" i="1"/>
  <c r="P45" i="1"/>
  <c r="O45" i="1"/>
  <c r="Z44" i="1"/>
  <c r="Y44" i="1"/>
  <c r="X44" i="1"/>
  <c r="W44" i="1"/>
  <c r="V44" i="1"/>
  <c r="U44" i="1"/>
  <c r="T44" i="1"/>
  <c r="S44" i="1"/>
  <c r="R44" i="1"/>
  <c r="Q44" i="1"/>
  <c r="P44" i="1"/>
  <c r="O44" i="1"/>
  <c r="Z43" i="1"/>
  <c r="Y43" i="1"/>
  <c r="X43" i="1"/>
  <c r="W43" i="1"/>
  <c r="V43" i="1"/>
  <c r="U43" i="1"/>
  <c r="T43" i="1"/>
  <c r="S43" i="1"/>
  <c r="R43" i="1"/>
  <c r="Q43" i="1"/>
  <c r="P43" i="1"/>
  <c r="O43" i="1"/>
  <c r="Z42" i="1"/>
  <c r="Y42" i="1"/>
  <c r="X42" i="1"/>
  <c r="W42" i="1"/>
  <c r="V42" i="1"/>
  <c r="U42" i="1"/>
  <c r="T42" i="1"/>
  <c r="S42" i="1"/>
  <c r="R42" i="1"/>
  <c r="Q42" i="1"/>
  <c r="P42" i="1"/>
  <c r="O42" i="1"/>
  <c r="Z41" i="1"/>
  <c r="Y41" i="1"/>
  <c r="X41" i="1"/>
  <c r="W41" i="1"/>
  <c r="V41" i="1"/>
  <c r="U41" i="1"/>
  <c r="T41" i="1"/>
  <c r="S41" i="1"/>
  <c r="R41" i="1"/>
  <c r="Q41" i="1"/>
  <c r="P41" i="1"/>
  <c r="O41" i="1"/>
  <c r="Z40" i="1"/>
  <c r="Y40" i="1"/>
  <c r="X40" i="1"/>
  <c r="W40" i="1"/>
  <c r="V40" i="1"/>
  <c r="U40" i="1"/>
  <c r="T40" i="1"/>
  <c r="S40" i="1"/>
  <c r="R40" i="1"/>
  <c r="Q40" i="1"/>
  <c r="P40" i="1"/>
  <c r="O40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Y27" i="1"/>
  <c r="X27" i="1"/>
  <c r="W27" i="1"/>
  <c r="V27" i="1"/>
  <c r="U27" i="1"/>
  <c r="T27" i="1"/>
  <c r="S27" i="1"/>
  <c r="R27" i="1"/>
  <c r="Q27" i="1"/>
  <c r="P27" i="1"/>
  <c r="O27" i="1"/>
  <c r="Y26" i="1"/>
  <c r="X26" i="1"/>
  <c r="W26" i="1"/>
  <c r="V26" i="1"/>
  <c r="U26" i="1"/>
  <c r="T26" i="1"/>
  <c r="S26" i="1"/>
  <c r="R26" i="1"/>
  <c r="Q26" i="1"/>
  <c r="P26" i="1"/>
  <c r="O26" i="1"/>
  <c r="Y25" i="1"/>
  <c r="X25" i="1"/>
  <c r="W25" i="1"/>
  <c r="V25" i="1"/>
  <c r="U25" i="1"/>
  <c r="T25" i="1"/>
  <c r="S25" i="1"/>
  <c r="R25" i="1"/>
  <c r="Q25" i="1"/>
  <c r="P25" i="1"/>
  <c r="O25" i="1"/>
  <c r="Y24" i="1"/>
  <c r="X24" i="1"/>
  <c r="W24" i="1"/>
  <c r="V24" i="1"/>
  <c r="U24" i="1"/>
  <c r="T24" i="1"/>
  <c r="S24" i="1"/>
  <c r="R24" i="1"/>
  <c r="Q24" i="1"/>
  <c r="P24" i="1"/>
  <c r="O24" i="1"/>
  <c r="Y23" i="1"/>
  <c r="X23" i="1"/>
  <c r="W23" i="1"/>
  <c r="V23" i="1"/>
  <c r="U23" i="1"/>
  <c r="T23" i="1"/>
  <c r="S23" i="1"/>
  <c r="R23" i="1"/>
  <c r="Q23" i="1"/>
  <c r="P23" i="1"/>
  <c r="O23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W14" i="1"/>
  <c r="V14" i="1"/>
  <c r="U14" i="1"/>
  <c r="T14" i="1"/>
  <c r="S14" i="1"/>
  <c r="R14" i="1"/>
  <c r="Q14" i="1"/>
  <c r="P14" i="1"/>
  <c r="O14" i="1"/>
  <c r="W13" i="1"/>
  <c r="V13" i="1"/>
  <c r="U13" i="1"/>
  <c r="T13" i="1"/>
  <c r="S13" i="1"/>
  <c r="R13" i="1"/>
  <c r="Q13" i="1"/>
  <c r="P13" i="1"/>
  <c r="O13" i="1"/>
  <c r="W12" i="1"/>
  <c r="V12" i="1"/>
  <c r="U12" i="1"/>
  <c r="T12" i="1"/>
  <c r="S12" i="1"/>
  <c r="R12" i="1"/>
  <c r="Q12" i="1"/>
  <c r="P12" i="1"/>
  <c r="O12" i="1"/>
</calcChain>
</file>

<file path=xl/sharedStrings.xml><?xml version="1.0" encoding="utf-8"?>
<sst xmlns="http://schemas.openxmlformats.org/spreadsheetml/2006/main" count="281" uniqueCount="83">
  <si>
    <t>Сорт</t>
  </si>
  <si>
    <t>6,5мм</t>
  </si>
  <si>
    <t>9мм</t>
  </si>
  <si>
    <t>12мм</t>
  </si>
  <si>
    <t>15мм</t>
  </si>
  <si>
    <t>18мм</t>
  </si>
  <si>
    <t>21мм</t>
  </si>
  <si>
    <t>24мм</t>
  </si>
  <si>
    <t>27мм</t>
  </si>
  <si>
    <t>30мм</t>
  </si>
  <si>
    <t>II/III</t>
  </si>
  <si>
    <t>III/III</t>
  </si>
  <si>
    <t>листов в м3</t>
  </si>
  <si>
    <t>3 мм</t>
  </si>
  <si>
    <t>4 мм</t>
  </si>
  <si>
    <t>5 мм</t>
  </si>
  <si>
    <t>6 мм</t>
  </si>
  <si>
    <t>8 мм</t>
  </si>
  <si>
    <t>9 мм</t>
  </si>
  <si>
    <t>10 мм</t>
  </si>
  <si>
    <t>12 мм</t>
  </si>
  <si>
    <t>14 мм</t>
  </si>
  <si>
    <t>15 мм</t>
  </si>
  <si>
    <t>16 мм</t>
  </si>
  <si>
    <t>18 мм</t>
  </si>
  <si>
    <t>20 мм</t>
  </si>
  <si>
    <t>IV/IV НШ*</t>
  </si>
  <si>
    <t>21 мм</t>
  </si>
  <si>
    <t>I/II (В/ВВ)</t>
  </si>
  <si>
    <t>II/II (ВВ/ВВ)</t>
  </si>
  <si>
    <t>II/III (ВВ/СР)</t>
  </si>
  <si>
    <t>III/III (СР/СР)</t>
  </si>
  <si>
    <t>III/IV (СР/С)</t>
  </si>
  <si>
    <t>24 мм</t>
  </si>
  <si>
    <t>27 мм</t>
  </si>
  <si>
    <t>30 мм</t>
  </si>
  <si>
    <t>35 мм</t>
  </si>
  <si>
    <t>40 мм</t>
  </si>
  <si>
    <t>тип поверхности пленки</t>
  </si>
  <si>
    <t>F/F (гладкая/гладкая)</t>
  </si>
  <si>
    <t>F/W (гладкая/сетка)</t>
  </si>
  <si>
    <t>-</t>
  </si>
  <si>
    <t>наименование</t>
  </si>
  <si>
    <t>формат, мм</t>
  </si>
  <si>
    <t>S листа, м2</t>
  </si>
  <si>
    <t>цена</t>
  </si>
  <si>
    <t>Древесно-стружечная плита, Е1, ГОСТ 10632-2007</t>
  </si>
  <si>
    <t>поверхность</t>
  </si>
  <si>
    <t>шлифованная</t>
  </si>
  <si>
    <t>Древесно-волокнистые плиты, ДВП</t>
  </si>
  <si>
    <t>формат</t>
  </si>
  <si>
    <t>ДВП</t>
  </si>
  <si>
    <t>2,5*1220*2440</t>
  </si>
  <si>
    <t>2ст</t>
  </si>
  <si>
    <t>2,5*1700*2750</t>
  </si>
  <si>
    <t>1ст</t>
  </si>
  <si>
    <t xml:space="preserve">ДСП </t>
  </si>
  <si>
    <t>I/III</t>
  </si>
  <si>
    <t>6мм</t>
  </si>
  <si>
    <t>22мм</t>
  </si>
  <si>
    <t>16 мм 1 ст</t>
  </si>
  <si>
    <t>16 мм 2 ст</t>
  </si>
  <si>
    <r>
      <t xml:space="preserve">Фанера березовая, ФК, Е1, Ш2, Ш, «СВЕЗА»,  формат: 1525x1525 мм. </t>
    </r>
    <r>
      <rPr>
        <sz val="13"/>
        <color indexed="9"/>
        <rFont val="Calibri"/>
        <family val="2"/>
        <charset val="204"/>
        <scheme val="minor"/>
      </rPr>
      <t xml:space="preserve">СТО 52654419-001-2018 (ГОСТ 3916.1) </t>
    </r>
  </si>
  <si>
    <r>
      <t xml:space="preserve">Фанера березовая, ФСФ, Е1, Ш, НШ*, «СВЕЗА» формат: 2440x1220 мм. </t>
    </r>
    <r>
      <rPr>
        <sz val="13"/>
        <color indexed="9"/>
        <rFont val="Calibri"/>
        <family val="2"/>
        <charset val="204"/>
        <scheme val="minor"/>
      </rPr>
      <t xml:space="preserve">СТО 52654419-001-2018 (ГОСТ 3916.1) </t>
    </r>
  </si>
  <si>
    <r>
      <t xml:space="preserve">    </t>
    </r>
    <r>
      <rPr>
        <sz val="13"/>
        <color indexed="9"/>
        <rFont val="Calibri"/>
        <family val="2"/>
        <charset val="204"/>
        <scheme val="minor"/>
      </rPr>
      <t xml:space="preserve">    </t>
    </r>
    <r>
      <rPr>
        <sz val="14"/>
        <color indexed="9"/>
        <rFont val="Calibri"/>
        <family val="2"/>
        <charset val="204"/>
        <scheme val="minor"/>
      </rPr>
      <t>Фанера березовая ФСФ, Е1, ламинированная, 1 сорт, плотность 120 г/м2 «СВЕЗА» формат 2440x1220 мм.  СТО 52654419-006-2018</t>
    </r>
  </si>
  <si>
    <r>
      <t xml:space="preserve">    Фанера березовая  ФСФ, Е1, ламинированная, 1 сорт, плотность 120 г/м2 «СВЕЗА» формат 1500x3000 мм.  </t>
    </r>
    <r>
      <rPr>
        <sz val="13"/>
        <color indexed="9"/>
        <rFont val="Calibri"/>
        <family val="2"/>
        <charset val="204"/>
        <scheme val="minor"/>
      </rPr>
      <t>СТО 52654419-006-2018</t>
    </r>
  </si>
  <si>
    <t xml:space="preserve">16*2440*1220 </t>
  </si>
  <si>
    <t>Цена за 1 м2</t>
  </si>
  <si>
    <t>2800*2070</t>
  </si>
  <si>
    <t>16*2440*1830</t>
  </si>
  <si>
    <t>5,5*1220*2710</t>
  </si>
  <si>
    <t>Латат 3 сорт</t>
  </si>
  <si>
    <t>формат 2500*1250 мм</t>
  </si>
  <si>
    <t>Латат 1 сорт</t>
  </si>
  <si>
    <t>Ультралам</t>
  </si>
  <si>
    <t>3,2*1700*2750</t>
  </si>
  <si>
    <t>ХДФ/ДВП</t>
  </si>
  <si>
    <t>Plydex</t>
  </si>
  <si>
    <t>Фанера хвойных пород,  марка ФСФ, НШ, формат:  2440x1220 мм.  (2,97 кв.м.)</t>
  </si>
  <si>
    <t>Фанера березовая, ФК, Е1, НШ*, формат: 1525x1525 мм. (2,32 кв.м.)</t>
  </si>
  <si>
    <r>
      <t xml:space="preserve">Фанера березовая, ФСФ, Е1, Ш, НШ*, «СВЕЗА» формат: 1500x3000 мм. </t>
    </r>
    <r>
      <rPr>
        <sz val="13"/>
        <color indexed="9"/>
        <rFont val="Calibri"/>
        <family val="2"/>
        <charset val="204"/>
        <scheme val="minor"/>
      </rPr>
      <t xml:space="preserve">СТО 52654419-001-2018 (ГОСТ 3916.1) </t>
    </r>
    <r>
      <rPr>
        <sz val="14"/>
        <color indexed="9"/>
        <rFont val="Calibri"/>
        <family val="2"/>
        <charset val="204"/>
        <scheme val="minor"/>
      </rPr>
      <t>(4,5 кв. м.)</t>
    </r>
  </si>
  <si>
    <t>Ориентированно-стружечная плита OSB-3 (3,125 кв.м.)</t>
  </si>
  <si>
    <t>МДФ СОРТ 1, шлифованная (5,796 кв.м.)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</si>
</sst>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8">
    <font>
      <sz val="11"/>
      <color theme="1"/>
      <name val="Calibri"/>
      <family val="2"/>
      <charset val="204"/>
      <scheme val="minor"/>
    </font>
    <font>
      <sz val="12"/>
      <name val="OfficinaSerifCTT"/>
      <family val="1"/>
      <charset val="1"/>
    </font>
    <font>
      <sz val="14"/>
      <name val="OfficinaSerifCTT"/>
      <family val="1"/>
      <charset val="1"/>
    </font>
    <font>
      <sz val="11"/>
      <color rgb="FF000000"/>
      <name val="Arial"/>
      <family val="2"/>
      <charset val="204"/>
    </font>
    <font>
      <sz val="13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4"/>
      <color indexed="9"/>
      <name val="Calibri"/>
      <family val="2"/>
      <charset val="204"/>
      <scheme val="minor"/>
    </font>
    <font>
      <sz val="10.5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3"/>
      <color indexed="9"/>
      <name val="Calibri"/>
      <family val="2"/>
      <charset val="204"/>
      <scheme val="minor"/>
    </font>
    <font>
      <sz val="14"/>
      <color indexed="8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4"/>
      <color rgb="FF000000"/>
      <name val="Times New Roman"/>
      <family val="2"/>
    </font>
    <font>
      <sz val="14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trike/>
      <sz val="13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8"/>
      </left>
      <right style="hair">
        <color indexed="8"/>
      </right>
      <top/>
      <bottom style="hair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dotted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dotted">
        <color indexed="8"/>
      </left>
      <right style="medium">
        <color indexed="64"/>
      </right>
      <top style="dotted">
        <color indexed="8"/>
      </top>
      <bottom style="dotted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/>
      <bottom style="dotted">
        <color indexed="8"/>
      </bottom>
      <diagonal/>
    </border>
    <border>
      <left style="medium">
        <color indexed="64"/>
      </left>
      <right/>
      <top style="dotted">
        <color indexed="8"/>
      </top>
      <bottom style="dotted">
        <color indexed="8"/>
      </bottom>
      <diagonal/>
    </border>
    <border>
      <left style="medium">
        <color indexed="64"/>
      </left>
      <right/>
      <top style="dotted">
        <color indexed="8"/>
      </top>
      <bottom/>
      <diagonal/>
    </border>
    <border>
      <left style="medium">
        <color indexed="64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64"/>
      </left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 style="hair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 applyProtection="1">
      <alignment horizontal="center"/>
      <protection locked="0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/>
    </xf>
    <xf numFmtId="1" fontId="0" fillId="0" borderId="0" xfId="0" applyNumberFormat="1"/>
    <xf numFmtId="0" fontId="8" fillId="0" borderId="12" xfId="0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2" fontId="0" fillId="0" borderId="0" xfId="0" applyNumberFormat="1"/>
    <xf numFmtId="0" fontId="8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4" fillId="4" borderId="1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5" fillId="4" borderId="11" xfId="0" applyNumberFormat="1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12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right" vertical="top" wrapText="1" indent="1"/>
    </xf>
    <xf numFmtId="1" fontId="13" fillId="0" borderId="0" xfId="0" applyNumberFormat="1" applyFont="1" applyAlignment="1">
      <alignment horizontal="left" vertical="top" indent="2" shrinkToFit="1"/>
    </xf>
    <xf numFmtId="1" fontId="13" fillId="0" borderId="0" xfId="0" applyNumberFormat="1" applyFont="1" applyAlignment="1">
      <alignment horizontal="right" vertical="top" indent="1" shrinkToFit="1"/>
    </xf>
    <xf numFmtId="1" fontId="13" fillId="0" borderId="0" xfId="0" applyNumberFormat="1" applyFont="1" applyAlignment="1">
      <alignment horizontal="left" vertical="top" indent="1" shrinkToFit="1"/>
    </xf>
    <xf numFmtId="1" fontId="13" fillId="0" borderId="0" xfId="0" applyNumberFormat="1" applyFont="1" applyAlignment="1">
      <alignment horizontal="right" vertical="top" indent="2" shrinkToFit="1"/>
    </xf>
    <xf numFmtId="0" fontId="14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center" vertical="top" shrinkToFi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 indent="2"/>
    </xf>
    <xf numFmtId="0" fontId="15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4" borderId="14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4" fillId="4" borderId="9" xfId="0" applyNumberFormat="1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1" fontId="5" fillId="4" borderId="7" xfId="0" applyNumberFormat="1" applyFont="1" applyFill="1" applyBorder="1" applyAlignment="1">
      <alignment horizontal="center"/>
    </xf>
    <xf numFmtId="1" fontId="5" fillId="4" borderId="4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Border="1"/>
    <xf numFmtId="0" fontId="0" fillId="0" borderId="28" xfId="0" applyBorder="1"/>
    <xf numFmtId="0" fontId="7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4" borderId="32" xfId="0" applyFont="1" applyFill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" fontId="4" fillId="0" borderId="30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/>
    </xf>
    <xf numFmtId="1" fontId="4" fillId="0" borderId="36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/>
    </xf>
    <xf numFmtId="164" fontId="4" fillId="0" borderId="29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1" fontId="5" fillId="4" borderId="32" xfId="0" applyNumberFormat="1" applyFont="1" applyFill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 applyProtection="1">
      <alignment horizontal="center"/>
      <protection locked="0"/>
    </xf>
    <xf numFmtId="164" fontId="4" fillId="0" borderId="31" xfId="0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6" fillId="2" borderId="29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/>
    </xf>
    <xf numFmtId="164" fontId="5" fillId="0" borderId="39" xfId="0" applyNumberFormat="1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11" fillId="2" borderId="34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1" fontId="5" fillId="4" borderId="37" xfId="0" applyNumberFormat="1" applyFont="1" applyFill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/>
    </xf>
    <xf numFmtId="0" fontId="4" fillId="4" borderId="37" xfId="0" applyFont="1" applyFill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1" fontId="5" fillId="4" borderId="13" xfId="0" applyNumberFormat="1" applyFont="1" applyFill="1" applyBorder="1" applyAlignment="1">
      <alignment horizontal="center"/>
    </xf>
    <xf numFmtId="1" fontId="5" fillId="4" borderId="47" xfId="0" applyNumberFormat="1" applyFont="1" applyFill="1" applyBorder="1" applyAlignment="1">
      <alignment horizontal="center"/>
    </xf>
    <xf numFmtId="1" fontId="5" fillId="4" borderId="48" xfId="0" applyNumberFormat="1" applyFont="1" applyFill="1" applyBorder="1" applyAlignment="1">
      <alignment horizontal="center"/>
    </xf>
    <xf numFmtId="1" fontId="17" fillId="4" borderId="47" xfId="0" applyNumberFormat="1" applyFont="1" applyFill="1" applyBorder="1" applyAlignment="1">
      <alignment horizontal="center"/>
    </xf>
    <xf numFmtId="1" fontId="17" fillId="4" borderId="48" xfId="0" applyNumberFormat="1" applyFont="1" applyFill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1" fontId="5" fillId="4" borderId="56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13</xdr:col>
      <xdr:colOff>762000</xdr:colOff>
      <xdr:row>9</xdr:row>
      <xdr:rowOff>142315</xdr:rowOff>
    </xdr:to>
    <xdr:sp macro="" textlink="">
      <xdr:nvSpPr>
        <xdr:cNvPr id="1086" name="Object 62" hidden="1">
          <a:extLst>
            <a:ext uri="{63B3BB69-23CF-44E3-9099-C40C66FF867C}">
              <a14:compatExt xmlns:a14="http://schemas.microsoft.com/office/drawing/2010/main" spid="_x0000_s1086"/>
            </a:ex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19050</xdr:rowOff>
    </xdr:from>
    <xdr:to>
      <xdr:col>28</xdr:col>
      <xdr:colOff>51547</xdr:colOff>
      <xdr:row>9</xdr:row>
      <xdr:rowOff>13447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9050"/>
          <a:ext cx="10988488" cy="1686485"/>
          <a:chOff x="0" y="19050"/>
          <a:chExt cx="10988488" cy="1809750"/>
        </a:xfrm>
      </xdr:grpSpPr>
      <xdr:sp macro="" textlink="">
        <xdr:nvSpPr>
          <xdr:cNvPr id="1379" name="AutoShape 355">
            <a:extLst>
              <a:ext uri="{FF2B5EF4-FFF2-40B4-BE49-F238E27FC236}">
                <a16:creationId xmlns:a16="http://schemas.microsoft.com/office/drawing/2014/main" id="{00000000-0008-0000-0000-00006305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57150" y="19050"/>
            <a:ext cx="10896600" cy="18097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miter lim="800000"/>
            <a:headEnd type="none" w="med" len="med"/>
            <a:tailEnd type="none" w="med" len="med"/>
          </a:ln>
        </xdr:spPr>
      </xdr:sp>
      <xdr:grpSp>
        <xdr:nvGrpSpPr>
          <xdr:cNvPr id="1581" name="Group 557">
            <a:extLst>
              <a:ext uri="{FF2B5EF4-FFF2-40B4-BE49-F238E27FC236}">
                <a16:creationId xmlns:a16="http://schemas.microsoft.com/office/drawing/2014/main" id="{00000000-0008-0000-0000-00002D060000}"/>
              </a:ext>
            </a:extLst>
          </xdr:cNvPr>
          <xdr:cNvGrpSpPr>
            <a:grpSpLocks/>
          </xdr:cNvGrpSpPr>
        </xdr:nvGrpSpPr>
        <xdr:grpSpPr bwMode="auto">
          <a:xfrm>
            <a:off x="2362200" y="47625"/>
            <a:ext cx="8601075" cy="1752600"/>
            <a:chOff x="242" y="5"/>
            <a:chExt cx="903" cy="184"/>
          </a:xfrm>
        </xdr:grpSpPr>
        <xdr:sp macro="" textlink="">
          <xdr:nvSpPr>
            <xdr:cNvPr id="1381" name="Rectangle 357">
              <a:extLs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34" y="5"/>
              <a:ext cx="7" cy="184"/>
            </a:xfrm>
            <a:prstGeom prst="rect">
              <a:avLst/>
            </a:prstGeom>
            <a:solidFill>
              <a:srgbClr val="EDC04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2" name="Rectangle 358">
              <a:extLs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30" y="5"/>
              <a:ext cx="15" cy="184"/>
            </a:xfrm>
            <a:prstGeom prst="rect">
              <a:avLst/>
            </a:prstGeom>
            <a:solidFill>
              <a:srgbClr val="EDC04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3" name="Rectangle 359">
              <a:extLs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25" y="5"/>
              <a:ext cx="7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4" name="Rectangle 360">
              <a:extLs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21" y="5"/>
              <a:ext cx="6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5" name="Rectangle 361">
              <a:extLs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16" y="5"/>
              <a:ext cx="7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6" name="Rectangle 362">
              <a:extLs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12" y="5"/>
              <a:ext cx="7" cy="184"/>
            </a:xfrm>
            <a:prstGeom prst="rect">
              <a:avLst/>
            </a:prstGeom>
            <a:solidFill>
              <a:srgbClr val="EDC14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7" name="Rectangle 363">
              <a:extLs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7" y="5"/>
              <a:ext cx="7" cy="184"/>
            </a:xfrm>
            <a:prstGeom prst="rect">
              <a:avLst/>
            </a:prstGeom>
            <a:solidFill>
              <a:srgbClr val="EDC1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8" name="Rectangle 364">
              <a:extLs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103" y="5"/>
              <a:ext cx="7" cy="184"/>
            </a:xfrm>
            <a:prstGeom prst="rect">
              <a:avLst/>
            </a:prstGeom>
            <a:solidFill>
              <a:srgbClr val="EDC1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89" name="Rectangle 365">
              <a:extLs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98" y="5"/>
              <a:ext cx="7" cy="184"/>
            </a:xfrm>
            <a:prstGeom prst="rect">
              <a:avLst/>
            </a:prstGeom>
            <a:solidFill>
              <a:srgbClr val="EDC14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0" name="Rectangle 366">
              <a:extLs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94" y="5"/>
              <a:ext cx="7" cy="184"/>
            </a:xfrm>
            <a:prstGeom prst="rect">
              <a:avLst/>
            </a:prstGeom>
            <a:solidFill>
              <a:srgbClr val="EDC24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1" name="Rectangle 367">
              <a:extLs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89" y="5"/>
              <a:ext cx="7" cy="184"/>
            </a:xfrm>
            <a:prstGeom prst="rect">
              <a:avLst/>
            </a:prstGeom>
            <a:solidFill>
              <a:srgbClr val="EDC24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2" name="Rectangle 368">
              <a:extLs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85" y="5"/>
              <a:ext cx="7" cy="184"/>
            </a:xfrm>
            <a:prstGeom prst="rect">
              <a:avLst/>
            </a:prstGeom>
            <a:solidFill>
              <a:srgbClr val="EDC24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3" name="Rectangle 369">
              <a:extLs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80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4" name="Rectangle 370">
              <a:extLs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76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5" name="Rectangle 371">
              <a:extLs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71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6" name="Rectangle 372">
              <a:extLs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67" y="5"/>
              <a:ext cx="7" cy="184"/>
            </a:xfrm>
            <a:prstGeom prst="rect">
              <a:avLst/>
            </a:prstGeom>
            <a:solidFill>
              <a:srgbClr val="EEC34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7" name="Rectangle 373">
              <a:extLs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63" y="5"/>
              <a:ext cx="6" cy="184"/>
            </a:xfrm>
            <a:prstGeom prst="rect">
              <a:avLst/>
            </a:prstGeom>
            <a:solidFill>
              <a:srgbClr val="EEC44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8" name="Rectangle 374">
              <a:extLs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8" y="5"/>
              <a:ext cx="7" cy="184"/>
            </a:xfrm>
            <a:prstGeom prst="rect">
              <a:avLst/>
            </a:prstGeom>
            <a:solidFill>
              <a:srgbClr val="EEC44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99" name="Rectangle 375">
              <a:extLs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4" y="5"/>
              <a:ext cx="6" cy="184"/>
            </a:xfrm>
            <a:prstGeom prst="rect">
              <a:avLst/>
            </a:prstGeom>
            <a:solidFill>
              <a:srgbClr val="EEC44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0" name="Rectangle 376">
              <a:extLs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49" y="5"/>
              <a:ext cx="7" cy="184"/>
            </a:xfrm>
            <a:prstGeom prst="rect">
              <a:avLst/>
            </a:prstGeom>
            <a:solidFill>
              <a:srgbClr val="EEC55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1" name="Rectangle 377">
              <a:extLs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45" y="5"/>
              <a:ext cx="6" cy="184"/>
            </a:xfrm>
            <a:prstGeom prst="rect">
              <a:avLst/>
            </a:prstGeom>
            <a:solidFill>
              <a:srgbClr val="EEC55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2" name="Rectangle 378">
              <a:extLs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40" y="5"/>
              <a:ext cx="7" cy="184"/>
            </a:xfrm>
            <a:prstGeom prst="rect">
              <a:avLst/>
            </a:prstGeom>
            <a:solidFill>
              <a:srgbClr val="EEC55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3" name="Rectangle 379">
              <a:extLs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6" y="5"/>
              <a:ext cx="6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4" name="Rectangle 380">
              <a:extLs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31" y="5"/>
              <a:ext cx="7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5" name="Rectangle 381">
              <a:extLs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27" y="5"/>
              <a:ext cx="6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6" name="Rectangle 382">
              <a:extLs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22" y="5"/>
              <a:ext cx="7" cy="184"/>
            </a:xfrm>
            <a:prstGeom prst="rect">
              <a:avLst/>
            </a:prstGeom>
            <a:solidFill>
              <a:srgbClr val="EEC55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7" name="Rectangle 383">
              <a:extLs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8" y="5"/>
              <a:ext cx="6" cy="184"/>
            </a:xfrm>
            <a:prstGeom prst="rect">
              <a:avLst/>
            </a:prstGeom>
            <a:solidFill>
              <a:srgbClr val="EEC6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8" name="Rectangle 384">
              <a:extLs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3" y="5"/>
              <a:ext cx="7" cy="184"/>
            </a:xfrm>
            <a:prstGeom prst="rect">
              <a:avLst/>
            </a:prstGeom>
            <a:solidFill>
              <a:srgbClr val="EEC6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09" name="Rectangle 385">
              <a:extLs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9" y="5"/>
              <a:ext cx="6" cy="184"/>
            </a:xfrm>
            <a:prstGeom prst="rect">
              <a:avLst/>
            </a:prstGeom>
            <a:solidFill>
              <a:srgbClr val="EEC65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0" name="Rectangle 386">
              <a:extLs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4" y="5"/>
              <a:ext cx="7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1" name="Rectangle 387">
              <a:extLs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00" y="5"/>
              <a:ext cx="7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2" name="Rectangle 388">
              <a:extLs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95" y="5"/>
              <a:ext cx="7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3" name="Rectangle 389">
              <a:extLs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91" y="5"/>
              <a:ext cx="6" cy="184"/>
            </a:xfrm>
            <a:prstGeom prst="rect">
              <a:avLst/>
            </a:prstGeom>
            <a:solidFill>
              <a:srgbClr val="EFC75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4" name="Rectangle 390">
              <a:extLs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86" y="5"/>
              <a:ext cx="7" cy="184"/>
            </a:xfrm>
            <a:prstGeom prst="rect">
              <a:avLst/>
            </a:prstGeom>
            <a:solidFill>
              <a:srgbClr val="EFC85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5" name="Rectangle 391">
              <a:extLs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82" y="5"/>
              <a:ext cx="7" cy="184"/>
            </a:xfrm>
            <a:prstGeom prst="rect">
              <a:avLst/>
            </a:prstGeom>
            <a:solidFill>
              <a:srgbClr val="EFC85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6" name="Rectangle 392">
              <a:extLs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7" y="5"/>
              <a:ext cx="7" cy="184"/>
            </a:xfrm>
            <a:prstGeom prst="rect">
              <a:avLst/>
            </a:prstGeom>
            <a:solidFill>
              <a:srgbClr val="EFC85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7" name="Rectangle 393">
              <a:extLs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3" y="5"/>
              <a:ext cx="7" cy="184"/>
            </a:xfrm>
            <a:prstGeom prst="rect">
              <a:avLst/>
            </a:prstGeom>
            <a:solidFill>
              <a:srgbClr val="EFC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8" name="Rectangle 394">
              <a:extLs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8" y="5"/>
              <a:ext cx="7" cy="184"/>
            </a:xfrm>
            <a:prstGeom prst="rect">
              <a:avLst/>
            </a:prstGeom>
            <a:solidFill>
              <a:srgbClr val="EFC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19" name="Rectangle 395">
              <a:extLs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4" y="5"/>
              <a:ext cx="7" cy="184"/>
            </a:xfrm>
            <a:prstGeom prst="rect">
              <a:avLst/>
            </a:prstGeom>
            <a:solidFill>
              <a:srgbClr val="EFC85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0" name="Rectangle 396">
              <a:extLs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59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1" name="Rectangle 397">
              <a:extLs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55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2" name="Rectangle 398">
              <a:extLs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50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3" name="Rectangle 399">
              <a:extLs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46" y="5"/>
              <a:ext cx="7" cy="184"/>
            </a:xfrm>
            <a:prstGeom prst="rect">
              <a:avLst/>
            </a:prstGeom>
            <a:solidFill>
              <a:srgbClr val="EFC95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4" name="Rectangle 400">
              <a:extLs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41" y="5"/>
              <a:ext cx="7" cy="184"/>
            </a:xfrm>
            <a:prstGeom prst="rect">
              <a:avLst/>
            </a:prstGeom>
            <a:solidFill>
              <a:srgbClr val="F0CA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5" name="Rectangle 401">
              <a:extLs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37" y="5"/>
              <a:ext cx="7" cy="184"/>
            </a:xfrm>
            <a:prstGeom prst="rect">
              <a:avLst/>
            </a:prstGeom>
            <a:solidFill>
              <a:srgbClr val="F0CA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6" name="Rectangle 402">
              <a:extLs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33" y="5"/>
              <a:ext cx="6" cy="184"/>
            </a:xfrm>
            <a:prstGeom prst="rect">
              <a:avLst/>
            </a:prstGeom>
            <a:solidFill>
              <a:srgbClr val="F0CA6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7" name="Rectangle 403">
              <a:extLs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28" y="5"/>
              <a:ext cx="7" cy="184"/>
            </a:xfrm>
            <a:prstGeom prst="rect">
              <a:avLst/>
            </a:prstGeom>
            <a:solidFill>
              <a:srgbClr val="F0CB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8" name="Rectangle 404">
              <a:extLs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24" y="5"/>
              <a:ext cx="6" cy="184"/>
            </a:xfrm>
            <a:prstGeom prst="rect">
              <a:avLst/>
            </a:prstGeom>
            <a:solidFill>
              <a:srgbClr val="F0CB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29" name="Rectangle 405">
              <a:extLs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9" y="5"/>
              <a:ext cx="7" cy="184"/>
            </a:xfrm>
            <a:prstGeom prst="rect">
              <a:avLst/>
            </a:prstGeom>
            <a:solidFill>
              <a:srgbClr val="F0CB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0" name="Rectangle 406">
              <a:extLs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5" y="5"/>
              <a:ext cx="6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1" name="Rectangle 407">
              <a:extLs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0" y="5"/>
              <a:ext cx="7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2" name="Rectangle 408">
              <a:extLs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06" y="5"/>
              <a:ext cx="6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3" name="Rectangle 409">
              <a:extLs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01" y="5"/>
              <a:ext cx="7" cy="184"/>
            </a:xfrm>
            <a:prstGeom prst="rect">
              <a:avLst/>
            </a:prstGeom>
            <a:solidFill>
              <a:srgbClr val="F0CC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4" name="Rectangle 410">
              <a:extLs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7" y="5"/>
              <a:ext cx="6" cy="184"/>
            </a:xfrm>
            <a:prstGeom prst="rect">
              <a:avLst/>
            </a:prstGeom>
            <a:solidFill>
              <a:srgbClr val="F0CC6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5" name="Rectangle 411">
              <a:extLs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92" y="5"/>
              <a:ext cx="7" cy="184"/>
            </a:xfrm>
            <a:prstGeom prst="rect">
              <a:avLst/>
            </a:prstGeom>
            <a:solidFill>
              <a:srgbClr val="F0CC6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6" name="Rectangle 412">
              <a:extLs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8" y="5"/>
              <a:ext cx="6" cy="184"/>
            </a:xfrm>
            <a:prstGeom prst="rect">
              <a:avLst/>
            </a:prstGeom>
            <a:solidFill>
              <a:srgbClr val="F0CC6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7" name="Rectangle 413">
              <a:extLs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3" y="5"/>
              <a:ext cx="7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8" name="Rectangle 414">
              <a:extLs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9" y="5"/>
              <a:ext cx="6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39" name="Rectangle 415">
              <a:extLs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4" y="5"/>
              <a:ext cx="7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0" name="Rectangle 416">
              <a:extLs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0" y="5"/>
              <a:ext cx="6" cy="184"/>
            </a:xfrm>
            <a:prstGeom prst="rect">
              <a:avLst/>
            </a:prstGeom>
            <a:solidFill>
              <a:srgbClr val="F1CD6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1" name="Rectangle 417">
              <a:extLs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65" y="5"/>
              <a:ext cx="7" cy="184"/>
            </a:xfrm>
            <a:prstGeom prst="rect">
              <a:avLst/>
            </a:prstGeom>
            <a:solidFill>
              <a:srgbClr val="F1CE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2" name="Rectangle 418">
              <a:extLs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61" y="5"/>
              <a:ext cx="7" cy="184"/>
            </a:xfrm>
            <a:prstGeom prst="rect">
              <a:avLst/>
            </a:prstGeom>
            <a:solidFill>
              <a:srgbClr val="F1CE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3" name="Rectangle 419">
              <a:extLs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56" y="5"/>
              <a:ext cx="7" cy="184"/>
            </a:xfrm>
            <a:prstGeom prst="rect">
              <a:avLst/>
            </a:prstGeom>
            <a:solidFill>
              <a:srgbClr val="F1CE6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4" name="Rectangle 420">
              <a:extLs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52" y="5"/>
              <a:ext cx="7" cy="184"/>
            </a:xfrm>
            <a:prstGeom prst="rect">
              <a:avLst/>
            </a:prstGeom>
            <a:solidFill>
              <a:srgbClr val="F1CF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5" name="Rectangle 421">
              <a:extLs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7" y="5"/>
              <a:ext cx="7" cy="184"/>
            </a:xfrm>
            <a:prstGeom prst="rect">
              <a:avLst/>
            </a:prstGeom>
            <a:solidFill>
              <a:srgbClr val="F1CF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6" name="Rectangle 422">
              <a:extLs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3" y="5"/>
              <a:ext cx="7" cy="184"/>
            </a:xfrm>
            <a:prstGeom prst="rect">
              <a:avLst/>
            </a:prstGeom>
            <a:solidFill>
              <a:srgbClr val="F1CF6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7" name="Rectangle 423">
              <a:extLs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8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8" name="Rectangle 424">
              <a:extLs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4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49" name="Rectangle 425">
              <a:extLs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9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0" name="Rectangle 426">
              <a:extLs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5" y="5"/>
              <a:ext cx="7" cy="184"/>
            </a:xfrm>
            <a:prstGeom prst="rect">
              <a:avLst/>
            </a:prstGeom>
            <a:solidFill>
              <a:srgbClr val="F1D07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1" name="Rectangle 427">
              <a:extLs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0" y="5"/>
              <a:ext cx="7" cy="184"/>
            </a:xfrm>
            <a:prstGeom prst="rect">
              <a:avLst/>
            </a:prstGeom>
            <a:solidFill>
              <a:srgbClr val="F1D0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2" name="Rectangle 428">
              <a:extLs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6" y="5"/>
              <a:ext cx="7" cy="184"/>
            </a:xfrm>
            <a:prstGeom prst="rect">
              <a:avLst/>
            </a:prstGeom>
            <a:solidFill>
              <a:srgbClr val="F1D0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3" name="Rectangle 429">
              <a:extLs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2" y="5"/>
              <a:ext cx="6" cy="184"/>
            </a:xfrm>
            <a:prstGeom prst="rect">
              <a:avLst/>
            </a:prstGeom>
            <a:solidFill>
              <a:srgbClr val="F1D07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4" name="Rectangle 430">
              <a:extLs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7" y="5"/>
              <a:ext cx="7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5" name="Rectangle 431">
              <a:extLs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03" y="5"/>
              <a:ext cx="6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6" name="Rectangle 432">
              <a:extLs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98" y="5"/>
              <a:ext cx="7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7" name="Rectangle 433">
              <a:extLs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94" y="5"/>
              <a:ext cx="6" cy="184"/>
            </a:xfrm>
            <a:prstGeom prst="rect">
              <a:avLst/>
            </a:prstGeom>
            <a:solidFill>
              <a:srgbClr val="F2D17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8" name="Rectangle 434">
              <a:extLs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89" y="5"/>
              <a:ext cx="7" cy="184"/>
            </a:xfrm>
            <a:prstGeom prst="rect">
              <a:avLst/>
            </a:prstGeom>
            <a:solidFill>
              <a:srgbClr val="F2D27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59" name="Rectangle 435">
              <a:extLs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85" y="5"/>
              <a:ext cx="6" cy="184"/>
            </a:xfrm>
            <a:prstGeom prst="rect">
              <a:avLst/>
            </a:prstGeom>
            <a:solidFill>
              <a:srgbClr val="F2D27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0" name="Rectangle 436">
              <a:extLs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80" y="5"/>
              <a:ext cx="7" cy="184"/>
            </a:xfrm>
            <a:prstGeom prst="rect">
              <a:avLst/>
            </a:prstGeom>
            <a:solidFill>
              <a:srgbClr val="F2D27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1" name="Rectangle 437">
              <a:extLs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6" y="5"/>
              <a:ext cx="6" cy="184"/>
            </a:xfrm>
            <a:prstGeom prst="rect">
              <a:avLst/>
            </a:prstGeom>
            <a:solidFill>
              <a:srgbClr val="F2D37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2" name="Rectangle 438">
              <a:extLs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1" y="5"/>
              <a:ext cx="7" cy="184"/>
            </a:xfrm>
            <a:prstGeom prst="rect">
              <a:avLst/>
            </a:prstGeom>
            <a:solidFill>
              <a:srgbClr val="F2D37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3" name="Rectangle 439">
              <a:extLs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67" y="5"/>
              <a:ext cx="6" cy="184"/>
            </a:xfrm>
            <a:prstGeom prst="rect">
              <a:avLst/>
            </a:prstGeom>
            <a:solidFill>
              <a:srgbClr val="F2D37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4" name="Rectangle 440">
              <a:extLs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62" y="5"/>
              <a:ext cx="7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5" name="Rectangle 441">
              <a:extLs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8" y="5"/>
              <a:ext cx="6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6" name="Rectangle 442">
              <a:extLs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53" y="5"/>
              <a:ext cx="7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7" name="Rectangle 443">
              <a:extLs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" y="5"/>
              <a:ext cx="7" cy="184"/>
            </a:xfrm>
            <a:prstGeom prst="rect">
              <a:avLst/>
            </a:prstGeom>
            <a:solidFill>
              <a:srgbClr val="F2D47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8" name="Rectangle 444">
              <a:extLs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4" y="5"/>
              <a:ext cx="7" cy="184"/>
            </a:xfrm>
            <a:prstGeom prst="rect">
              <a:avLst/>
            </a:prstGeom>
            <a:solidFill>
              <a:srgbClr val="F3D47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69" name="Rectangle 445">
              <a:extLs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0" y="5"/>
              <a:ext cx="7" cy="184"/>
            </a:xfrm>
            <a:prstGeom prst="rect">
              <a:avLst/>
            </a:prstGeom>
            <a:solidFill>
              <a:srgbClr val="F3D47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0" name="Rectangle 446">
              <a:extLs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5" y="5"/>
              <a:ext cx="7" cy="184"/>
            </a:xfrm>
            <a:prstGeom prst="rect">
              <a:avLst/>
            </a:prstGeom>
            <a:solidFill>
              <a:srgbClr val="F3D47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1" name="Rectangle 447">
              <a:extLs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1" y="5"/>
              <a:ext cx="7" cy="184"/>
            </a:xfrm>
            <a:prstGeom prst="rect">
              <a:avLst/>
            </a:prstGeom>
            <a:solidFill>
              <a:srgbClr val="F3D58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2" name="Rectangle 448">
              <a:extLs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6" y="5"/>
              <a:ext cx="7" cy="184"/>
            </a:xfrm>
            <a:prstGeom prst="rect">
              <a:avLst/>
            </a:prstGeom>
            <a:solidFill>
              <a:srgbClr val="F3D58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3" name="Rectangle 449">
              <a:extLs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2" y="5"/>
              <a:ext cx="7" cy="184"/>
            </a:xfrm>
            <a:prstGeom prst="rect">
              <a:avLst/>
            </a:prstGeom>
            <a:solidFill>
              <a:srgbClr val="F3D58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4" name="Rectangle 450">
              <a:extLs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7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5" name="Rectangle 451">
              <a:extLs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3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6" name="Rectangle 452">
              <a:extLs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8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7" name="Rectangle 453">
              <a:extLs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4" y="5"/>
              <a:ext cx="7" cy="184"/>
            </a:xfrm>
            <a:prstGeom prst="rect">
              <a:avLst/>
            </a:prstGeom>
            <a:solidFill>
              <a:srgbClr val="F3D68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8" name="Rectangle 454">
              <a:extLs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99" y="5"/>
              <a:ext cx="7" cy="184"/>
            </a:xfrm>
            <a:prstGeom prst="rect">
              <a:avLst/>
            </a:prstGeom>
            <a:solidFill>
              <a:srgbClr val="F3D7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79" name="Rectangle 455">
              <a:extLs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95" y="5"/>
              <a:ext cx="7" cy="184"/>
            </a:xfrm>
            <a:prstGeom prst="rect">
              <a:avLst/>
            </a:prstGeom>
            <a:solidFill>
              <a:srgbClr val="F3D7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0" name="Rectangle 456">
              <a:extLst>
                <a:ext uri="{FF2B5EF4-FFF2-40B4-BE49-F238E27FC236}">
                  <a16:creationId xmlns:a16="http://schemas.microsoft.com/office/drawing/2014/main" id="{00000000-0008-0000-0000-0000C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91" y="5"/>
              <a:ext cx="6" cy="184"/>
            </a:xfrm>
            <a:prstGeom prst="rect">
              <a:avLst/>
            </a:prstGeom>
            <a:solidFill>
              <a:srgbClr val="F3D78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1" name="Rectangle 457">
              <a:extLs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6" y="5"/>
              <a:ext cx="7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2" name="Rectangle 458">
              <a:extLs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2" y="5"/>
              <a:ext cx="6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3" name="Rectangle 459">
              <a:extLs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7" y="5"/>
              <a:ext cx="7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4" name="Rectangle 460">
              <a:extLs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3" y="5"/>
              <a:ext cx="6" cy="184"/>
            </a:xfrm>
            <a:prstGeom prst="rect">
              <a:avLst/>
            </a:prstGeom>
            <a:solidFill>
              <a:srgbClr val="F3D78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5" name="Rectangle 461">
              <a:extLs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8" y="5"/>
              <a:ext cx="7" cy="184"/>
            </a:xfrm>
            <a:prstGeom prst="rect">
              <a:avLst/>
            </a:prstGeom>
            <a:solidFill>
              <a:srgbClr val="F4D88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6" name="Rectangle 462">
              <a:extLs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64" y="5"/>
              <a:ext cx="6" cy="184"/>
            </a:xfrm>
            <a:prstGeom prst="rect">
              <a:avLst/>
            </a:prstGeom>
            <a:solidFill>
              <a:srgbClr val="F4D88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7" name="Rectangle 463">
              <a:extLs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9" y="5"/>
              <a:ext cx="7" cy="184"/>
            </a:xfrm>
            <a:prstGeom prst="rect">
              <a:avLst/>
            </a:prstGeom>
            <a:solidFill>
              <a:srgbClr val="F4D88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8" name="Rectangle 464">
              <a:extLs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5" y="5"/>
              <a:ext cx="6" cy="184"/>
            </a:xfrm>
            <a:prstGeom prst="rect">
              <a:avLst/>
            </a:prstGeom>
            <a:solidFill>
              <a:srgbClr val="F4D98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89" name="Rectangle 465">
              <a:extLs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0" y="5"/>
              <a:ext cx="7" cy="184"/>
            </a:xfrm>
            <a:prstGeom prst="rect">
              <a:avLst/>
            </a:prstGeom>
            <a:solidFill>
              <a:srgbClr val="F4D98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0" name="Rectangle 466">
              <a:extLs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6" y="5"/>
              <a:ext cx="6" cy="184"/>
            </a:xfrm>
            <a:prstGeom prst="rect">
              <a:avLst/>
            </a:prstGeom>
            <a:solidFill>
              <a:srgbClr val="F4D98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1" name="Rectangle 467">
              <a:extLs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1" y="5"/>
              <a:ext cx="7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2" name="Rectangle 468">
              <a:extLs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7" y="5"/>
              <a:ext cx="6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3" name="Rectangle 469">
              <a:extLs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2" y="5"/>
              <a:ext cx="7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4" name="Rectangle 470">
              <a:extLs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8" y="5"/>
              <a:ext cx="7" cy="184"/>
            </a:xfrm>
            <a:prstGeom prst="rect">
              <a:avLst/>
            </a:prstGeom>
            <a:solidFill>
              <a:srgbClr val="F4DA9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5" name="Rectangle 471">
              <a:extLs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23" y="5"/>
              <a:ext cx="7" cy="184"/>
            </a:xfrm>
            <a:prstGeom prst="rect">
              <a:avLst/>
            </a:prstGeom>
            <a:solidFill>
              <a:srgbClr val="F4DB9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6" name="Rectangle 472">
              <a:extLs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9" y="5"/>
              <a:ext cx="7" cy="184"/>
            </a:xfrm>
            <a:prstGeom prst="rect">
              <a:avLst/>
            </a:prstGeom>
            <a:solidFill>
              <a:srgbClr val="F4DB9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7" name="Rectangle 473">
              <a:extLs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4" y="5"/>
              <a:ext cx="7" cy="184"/>
            </a:xfrm>
            <a:prstGeom prst="rect">
              <a:avLst/>
            </a:prstGeom>
            <a:solidFill>
              <a:srgbClr val="F4DB9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8" name="Rectangle 474">
              <a:extLs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10" y="5"/>
              <a:ext cx="7" cy="184"/>
            </a:xfrm>
            <a:prstGeom prst="rect">
              <a:avLst/>
            </a:prstGeom>
            <a:solidFill>
              <a:srgbClr val="F5DB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99" name="Rectangle 475">
              <a:extLs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5" y="5"/>
              <a:ext cx="7" cy="184"/>
            </a:xfrm>
            <a:prstGeom prst="rect">
              <a:avLst/>
            </a:prstGeom>
            <a:solidFill>
              <a:srgbClr val="F5DB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0" name="Rectangle 476">
              <a:extLs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1" y="5"/>
              <a:ext cx="7" cy="184"/>
            </a:xfrm>
            <a:prstGeom prst="rect">
              <a:avLst/>
            </a:prstGeom>
            <a:solidFill>
              <a:srgbClr val="F5DB9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1" name="Rectangle 477">
              <a:extLs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6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2" name="Rectangle 478">
              <a:extLs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2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3" name="Rectangle 479">
              <a:extLs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7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4" name="Rectangle 480">
              <a:extLs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3" y="5"/>
              <a:ext cx="7" cy="184"/>
            </a:xfrm>
            <a:prstGeom prst="rect">
              <a:avLst/>
            </a:prstGeom>
            <a:solidFill>
              <a:srgbClr val="F5DC9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5" name="Rectangle 481">
              <a:extLs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8" y="5"/>
              <a:ext cx="7" cy="184"/>
            </a:xfrm>
            <a:prstGeom prst="rect">
              <a:avLst/>
            </a:prstGeom>
            <a:solidFill>
              <a:srgbClr val="F5DD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6" name="Rectangle 482">
              <a:extLs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4" y="5"/>
              <a:ext cx="7" cy="184"/>
            </a:xfrm>
            <a:prstGeom prst="rect">
              <a:avLst/>
            </a:prstGeom>
            <a:solidFill>
              <a:srgbClr val="F5DD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7" name="Rectangle 483">
              <a:extLs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0" y="5"/>
              <a:ext cx="6" cy="184"/>
            </a:xfrm>
            <a:prstGeom prst="rect">
              <a:avLst/>
            </a:prstGeom>
            <a:solidFill>
              <a:srgbClr val="F5DD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8" name="Rectangle 484">
              <a:extLs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65" y="5"/>
              <a:ext cx="7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09" name="Rectangle 485">
              <a:extLs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61" y="5"/>
              <a:ext cx="6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0" name="Rectangle 486">
              <a:extLs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6" y="5"/>
              <a:ext cx="7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1" name="Rectangle 487">
              <a:extLs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52" y="5"/>
              <a:ext cx="6" cy="184"/>
            </a:xfrm>
            <a:prstGeom prst="rect">
              <a:avLst/>
            </a:prstGeom>
            <a:solidFill>
              <a:srgbClr val="F5DE9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2" name="Rectangle 488">
              <a:extLs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7" y="5"/>
              <a:ext cx="7" cy="184"/>
            </a:xfrm>
            <a:prstGeom prst="rect">
              <a:avLst/>
            </a:prstGeom>
            <a:solidFill>
              <a:srgbClr val="F6DF9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3" name="Rectangle 489">
              <a:extLs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3" y="5"/>
              <a:ext cx="6" cy="184"/>
            </a:xfrm>
            <a:prstGeom prst="rect">
              <a:avLst/>
            </a:prstGeom>
            <a:solidFill>
              <a:srgbClr val="F6DF9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4" name="Rectangle 490">
              <a:extLs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8" y="5"/>
              <a:ext cx="7" cy="184"/>
            </a:xfrm>
            <a:prstGeom prst="rect">
              <a:avLst/>
            </a:prstGeom>
            <a:solidFill>
              <a:srgbClr val="F6DF9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5" name="Rectangle 491">
              <a:extLs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4" y="5"/>
              <a:ext cx="6" cy="184"/>
            </a:xfrm>
            <a:prstGeom prst="rect">
              <a:avLst/>
            </a:prstGeom>
            <a:solidFill>
              <a:srgbClr val="F6DFA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6" name="Rectangle 492">
              <a:extLs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9" y="5"/>
              <a:ext cx="7" cy="184"/>
            </a:xfrm>
            <a:prstGeom prst="rect">
              <a:avLst/>
            </a:prstGeom>
            <a:solidFill>
              <a:srgbClr val="F6DFA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7" name="Rectangle 493">
              <a:extLs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" y="5"/>
              <a:ext cx="6" cy="184"/>
            </a:xfrm>
            <a:prstGeom prst="rect">
              <a:avLst/>
            </a:prstGeom>
            <a:solidFill>
              <a:srgbClr val="F6DFA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8" name="Rectangle 494">
              <a:extLs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0" y="5"/>
              <a:ext cx="7" cy="184"/>
            </a:xfrm>
            <a:prstGeom prst="rect">
              <a:avLst/>
            </a:prstGeom>
            <a:solidFill>
              <a:srgbClr val="F6E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19" name="Rectangle 495">
              <a:extLs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6" y="5"/>
              <a:ext cx="6" cy="184"/>
            </a:xfrm>
            <a:prstGeom prst="rect">
              <a:avLst/>
            </a:prstGeom>
            <a:solidFill>
              <a:srgbClr val="F6E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0" name="Rectangle 496">
              <a:extLs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1" y="5"/>
              <a:ext cx="7" cy="184"/>
            </a:xfrm>
            <a:prstGeom prst="rect">
              <a:avLst/>
            </a:prstGeom>
            <a:solidFill>
              <a:srgbClr val="F6E0A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1" name="Rectangle 497">
              <a:extLs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7" y="5"/>
              <a:ext cx="6" cy="184"/>
            </a:xfrm>
            <a:prstGeom prst="rect">
              <a:avLst/>
            </a:prstGeom>
            <a:solidFill>
              <a:srgbClr val="F6E1A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2" name="Rectangle 498">
              <a:extLs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2" y="5"/>
              <a:ext cx="7" cy="184"/>
            </a:xfrm>
            <a:prstGeom prst="rect">
              <a:avLst/>
            </a:prstGeom>
            <a:solidFill>
              <a:srgbClr val="F6E1A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3" name="Rectangle 499">
              <a:extLs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8" y="5"/>
              <a:ext cx="6" cy="184"/>
            </a:xfrm>
            <a:prstGeom prst="rect">
              <a:avLst/>
            </a:prstGeom>
            <a:solidFill>
              <a:srgbClr val="F6E1A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4" name="Rectangle 500">
              <a:extLs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3" y="5"/>
              <a:ext cx="7" cy="184"/>
            </a:xfrm>
            <a:prstGeom prst="rect">
              <a:avLst/>
            </a:prstGeom>
            <a:solidFill>
              <a:srgbClr val="F6E2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5" name="Rectangle 501">
              <a:extLs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89" y="5"/>
              <a:ext cx="7" cy="184"/>
            </a:xfrm>
            <a:prstGeom prst="rect">
              <a:avLst/>
            </a:prstGeom>
            <a:solidFill>
              <a:srgbClr val="F6E2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6" name="Rectangle 502">
              <a:extLs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84" y="5"/>
              <a:ext cx="7" cy="184"/>
            </a:xfrm>
            <a:prstGeom prst="rect">
              <a:avLst/>
            </a:prstGeom>
            <a:solidFill>
              <a:srgbClr val="F6E2A7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7" name="Rectangle 503">
              <a:extLs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80" y="5"/>
              <a:ext cx="7" cy="184"/>
            </a:xfrm>
            <a:prstGeom prst="rect">
              <a:avLst/>
            </a:prstGeom>
            <a:solidFill>
              <a:srgbClr val="F7E3A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8" name="Rectangle 504">
              <a:extLs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5" y="5"/>
              <a:ext cx="7" cy="184"/>
            </a:xfrm>
            <a:prstGeom prst="rect">
              <a:avLst/>
            </a:prstGeom>
            <a:solidFill>
              <a:srgbClr val="F7E3A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29" name="Rectangle 505">
              <a:extLs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1" y="5"/>
              <a:ext cx="7" cy="184"/>
            </a:xfrm>
            <a:prstGeom prst="rect">
              <a:avLst/>
            </a:prstGeom>
            <a:solidFill>
              <a:srgbClr val="F7E3A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0" name="Rectangle 506">
              <a:extLs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66" y="5"/>
              <a:ext cx="7" cy="184"/>
            </a:xfrm>
            <a:prstGeom prst="rect">
              <a:avLst/>
            </a:prstGeom>
            <a:solidFill>
              <a:srgbClr val="F7E3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1" name="Rectangle 507">
              <a:extLs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62" y="5"/>
              <a:ext cx="7" cy="184"/>
            </a:xfrm>
            <a:prstGeom prst="rect">
              <a:avLst/>
            </a:prstGeom>
            <a:solidFill>
              <a:srgbClr val="F7E3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2" name="Rectangle 508">
              <a:extLs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7" y="5"/>
              <a:ext cx="7" cy="184"/>
            </a:xfrm>
            <a:prstGeom prst="rect">
              <a:avLst/>
            </a:prstGeom>
            <a:solidFill>
              <a:srgbClr val="F7E3A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3" name="Rectangle 509">
              <a:extLs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3" y="5"/>
              <a:ext cx="7" cy="184"/>
            </a:xfrm>
            <a:prstGeom prst="rect">
              <a:avLst/>
            </a:prstGeom>
            <a:solidFill>
              <a:srgbClr val="F7E4A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4" name="Rectangle 510">
              <a:extLs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8" y="5"/>
              <a:ext cx="7" cy="184"/>
            </a:xfrm>
            <a:prstGeom prst="rect">
              <a:avLst/>
            </a:prstGeom>
            <a:solidFill>
              <a:srgbClr val="F7E4A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5" name="Rectangle 511">
              <a:extLs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4" y="5"/>
              <a:ext cx="7" cy="184"/>
            </a:xfrm>
            <a:prstGeom prst="rect">
              <a:avLst/>
            </a:prstGeom>
            <a:solidFill>
              <a:srgbClr val="F7E4AE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6" name="Rectangle 512">
              <a:extLs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0" y="5"/>
              <a:ext cx="6" cy="184"/>
            </a:xfrm>
            <a:prstGeom prst="rect">
              <a:avLst/>
            </a:prstGeom>
            <a:solidFill>
              <a:srgbClr val="F7E5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7" name="Rectangle 513">
              <a:extLs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5" y="5"/>
              <a:ext cx="7" cy="184"/>
            </a:xfrm>
            <a:prstGeom prst="rect">
              <a:avLst/>
            </a:prstGeom>
            <a:solidFill>
              <a:srgbClr val="F7E5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8" name="Rectangle 514">
              <a:extLs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1" y="5"/>
              <a:ext cx="6" cy="184"/>
            </a:xfrm>
            <a:prstGeom prst="rect">
              <a:avLst/>
            </a:prstGeom>
            <a:solidFill>
              <a:srgbClr val="F7E5B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39" name="Rectangle 515">
              <a:extLs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26" y="5"/>
              <a:ext cx="7" cy="184"/>
            </a:xfrm>
            <a:prstGeom prst="rect">
              <a:avLst/>
            </a:prstGeom>
            <a:solidFill>
              <a:srgbClr val="F8E6B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0" name="Rectangle 516">
              <a:extLs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22" y="5"/>
              <a:ext cx="6" cy="184"/>
            </a:xfrm>
            <a:prstGeom prst="rect">
              <a:avLst/>
            </a:prstGeom>
            <a:solidFill>
              <a:srgbClr val="F8E6B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1" name="Rectangle 517">
              <a:extLs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7" y="5"/>
              <a:ext cx="7" cy="184"/>
            </a:xfrm>
            <a:prstGeom prst="rect">
              <a:avLst/>
            </a:prstGeom>
            <a:solidFill>
              <a:srgbClr val="F8E6B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2" name="Rectangle 518">
              <a:extLs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3" y="5"/>
              <a:ext cx="6" cy="184"/>
            </a:xfrm>
            <a:prstGeom prst="rect">
              <a:avLst/>
            </a:prstGeom>
            <a:solidFill>
              <a:srgbClr val="F8E7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3" name="Rectangle 519">
              <a:extLs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08" y="5"/>
              <a:ext cx="7" cy="184"/>
            </a:xfrm>
            <a:prstGeom prst="rect">
              <a:avLst/>
            </a:prstGeom>
            <a:solidFill>
              <a:srgbClr val="F8E7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4" name="Rectangle 520">
              <a:extLs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04" y="5"/>
              <a:ext cx="6" cy="184"/>
            </a:xfrm>
            <a:prstGeom prst="rect">
              <a:avLst/>
            </a:prstGeom>
            <a:solidFill>
              <a:srgbClr val="F8E7B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5" name="Rectangle 521">
              <a:extLs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9" y="5"/>
              <a:ext cx="7" cy="184"/>
            </a:xfrm>
            <a:prstGeom prst="rect">
              <a:avLst/>
            </a:prstGeom>
            <a:solidFill>
              <a:srgbClr val="F8E7B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6" name="Rectangle 522">
              <a:extLs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5" y="5"/>
              <a:ext cx="6" cy="184"/>
            </a:xfrm>
            <a:prstGeom prst="rect">
              <a:avLst/>
            </a:prstGeom>
            <a:solidFill>
              <a:srgbClr val="F8E7B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7" name="Rectangle 523">
              <a:extLs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90" y="5"/>
              <a:ext cx="7" cy="184"/>
            </a:xfrm>
            <a:prstGeom prst="rect">
              <a:avLst/>
            </a:prstGeom>
            <a:solidFill>
              <a:srgbClr val="F8E7B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8" name="Rectangle 524">
              <a:extLs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6" y="5"/>
              <a:ext cx="6" cy="184"/>
            </a:xfrm>
            <a:prstGeom prst="rect">
              <a:avLst/>
            </a:prstGeom>
            <a:solidFill>
              <a:srgbClr val="F8E8B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49" name="Rectangle 525">
              <a:extLs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1" y="5"/>
              <a:ext cx="7" cy="184"/>
            </a:xfrm>
            <a:prstGeom prst="rect">
              <a:avLst/>
            </a:prstGeom>
            <a:solidFill>
              <a:srgbClr val="F8E8B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0" name="Rectangle 526">
              <a:extLs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7" y="5"/>
              <a:ext cx="7" cy="184"/>
            </a:xfrm>
            <a:prstGeom prst="rect">
              <a:avLst/>
            </a:prstGeom>
            <a:solidFill>
              <a:srgbClr val="F8E8BA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1" name="Rectangle 527">
              <a:extLs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2" y="5"/>
              <a:ext cx="7" cy="184"/>
            </a:xfrm>
            <a:prstGeom prst="rect">
              <a:avLst/>
            </a:prstGeom>
            <a:solidFill>
              <a:srgbClr val="F9E9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2" name="Rectangle 528">
              <a:extLs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8" y="5"/>
              <a:ext cx="7" cy="184"/>
            </a:xfrm>
            <a:prstGeom prst="rect">
              <a:avLst/>
            </a:prstGeom>
            <a:solidFill>
              <a:srgbClr val="F9E9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3" name="Rectangle 529">
              <a:extLs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3" y="5"/>
              <a:ext cx="7" cy="184"/>
            </a:xfrm>
            <a:prstGeom prst="rect">
              <a:avLst/>
            </a:prstGeom>
            <a:solidFill>
              <a:srgbClr val="F9E9B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4" name="Rectangle 530">
              <a:extLs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9" y="5"/>
              <a:ext cx="7" cy="184"/>
            </a:xfrm>
            <a:prstGeom prst="rect">
              <a:avLst/>
            </a:prstGeom>
            <a:solidFill>
              <a:srgbClr val="F9EAB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5" name="Rectangle 531">
              <a:extLs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4" y="5"/>
              <a:ext cx="7" cy="184"/>
            </a:xfrm>
            <a:prstGeom prst="rect">
              <a:avLst/>
            </a:prstGeom>
            <a:solidFill>
              <a:srgbClr val="F9EAB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6" name="Rectangle 532">
              <a:extLs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0" y="5"/>
              <a:ext cx="7" cy="184"/>
            </a:xfrm>
            <a:prstGeom prst="rect">
              <a:avLst/>
            </a:prstGeom>
            <a:solidFill>
              <a:srgbClr val="F9EAB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7" name="Rectangle 533">
              <a:extLs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5" y="5"/>
              <a:ext cx="7" cy="184"/>
            </a:xfrm>
            <a:prstGeom prst="rect">
              <a:avLst/>
            </a:prstGeom>
            <a:solidFill>
              <a:srgbClr val="F9EA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8" name="Rectangle 534">
              <a:extLs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1" y="5"/>
              <a:ext cx="7" cy="184"/>
            </a:xfrm>
            <a:prstGeom prst="rect">
              <a:avLst/>
            </a:prstGeom>
            <a:solidFill>
              <a:srgbClr val="F9EA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59" name="Rectangle 535">
              <a:extLs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6" y="5"/>
              <a:ext cx="7" cy="184"/>
            </a:xfrm>
            <a:prstGeom prst="rect">
              <a:avLst/>
            </a:prstGeom>
            <a:solidFill>
              <a:srgbClr val="F9EAC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0" name="Rectangle 536">
              <a:extLs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2" y="5"/>
              <a:ext cx="7" cy="184"/>
            </a:xfrm>
            <a:prstGeom prst="rect">
              <a:avLst/>
            </a:prstGeom>
            <a:solidFill>
              <a:srgbClr val="F9EBC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1" name="Rectangle 537">
              <a:extLs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7" y="5"/>
              <a:ext cx="7" cy="184"/>
            </a:xfrm>
            <a:prstGeom prst="rect">
              <a:avLst/>
            </a:prstGeom>
            <a:solidFill>
              <a:srgbClr val="F9EBC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2" name="Rectangle 538">
              <a:extLs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3" y="5"/>
              <a:ext cx="7" cy="184"/>
            </a:xfrm>
            <a:prstGeom prst="rect">
              <a:avLst/>
            </a:prstGeom>
            <a:solidFill>
              <a:srgbClr val="F9EBC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3" name="Rectangle 539">
              <a:extLs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19" y="5"/>
              <a:ext cx="6" cy="184"/>
            </a:xfrm>
            <a:prstGeom prst="rect">
              <a:avLst/>
            </a:prstGeom>
            <a:solidFill>
              <a:srgbClr val="F9ECC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4" name="Rectangle 540">
              <a:extLs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14" y="5"/>
              <a:ext cx="7" cy="184"/>
            </a:xfrm>
            <a:prstGeom prst="rect">
              <a:avLst/>
            </a:prstGeom>
            <a:solidFill>
              <a:srgbClr val="F9ECC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5" name="Rectangle 541">
              <a:extLs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10" y="5"/>
              <a:ext cx="6" cy="184"/>
            </a:xfrm>
            <a:prstGeom prst="rect">
              <a:avLst/>
            </a:prstGeom>
            <a:solidFill>
              <a:srgbClr val="F9ECC6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6" name="Rectangle 542">
              <a:extLs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5" y="5"/>
              <a:ext cx="7" cy="184"/>
            </a:xfrm>
            <a:prstGeom prst="rect">
              <a:avLst/>
            </a:prstGeom>
            <a:solidFill>
              <a:srgbClr val="FAED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7" name="Rectangle 543">
              <a:extLs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1" y="5"/>
              <a:ext cx="6" cy="184"/>
            </a:xfrm>
            <a:prstGeom prst="rect">
              <a:avLst/>
            </a:prstGeom>
            <a:solidFill>
              <a:srgbClr val="FAED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8" name="Rectangle 544">
              <a:extLs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6" y="5"/>
              <a:ext cx="7" cy="184"/>
            </a:xfrm>
            <a:prstGeom prst="rect">
              <a:avLst/>
            </a:prstGeom>
            <a:solidFill>
              <a:srgbClr val="FAEDC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69" name="Rectangle 545">
              <a:extLs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2" y="5"/>
              <a:ext cx="6" cy="184"/>
            </a:xfrm>
            <a:prstGeom prst="rect">
              <a:avLst/>
            </a:prstGeom>
            <a:solidFill>
              <a:srgbClr val="FAEEC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0" name="Rectangle 546">
              <a:extLs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7" y="5"/>
              <a:ext cx="7" cy="184"/>
            </a:xfrm>
            <a:prstGeom prst="rect">
              <a:avLst/>
            </a:prstGeom>
            <a:solidFill>
              <a:srgbClr val="FAEEC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1" name="Rectangle 547">
              <a:extLs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3" y="5"/>
              <a:ext cx="6" cy="184"/>
            </a:xfrm>
            <a:prstGeom prst="rect">
              <a:avLst/>
            </a:prstGeom>
            <a:solidFill>
              <a:srgbClr val="FAEEC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2" name="Rectangle 548">
              <a:extLs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8" y="5"/>
              <a:ext cx="7" cy="184"/>
            </a:xfrm>
            <a:prstGeom prst="rect">
              <a:avLst/>
            </a:prstGeom>
            <a:solidFill>
              <a:srgbClr val="FAEE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3" name="Rectangle 549">
              <a:extLs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4" y="5"/>
              <a:ext cx="6" cy="184"/>
            </a:xfrm>
            <a:prstGeom prst="rect">
              <a:avLst/>
            </a:prstGeom>
            <a:solidFill>
              <a:srgbClr val="FAEE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4" name="Rectangle 550">
              <a:extLs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9" y="5"/>
              <a:ext cx="7" cy="184"/>
            </a:xfrm>
            <a:prstGeom prst="rect">
              <a:avLst/>
            </a:prstGeom>
            <a:solidFill>
              <a:srgbClr val="FAEECD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5" name="Rectangle 551">
              <a:extLs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5" y="5"/>
              <a:ext cx="6" cy="184"/>
            </a:xfrm>
            <a:prstGeom prst="rect">
              <a:avLst/>
            </a:prstGeom>
            <a:solidFill>
              <a:srgbClr val="FAEFD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6" name="Rectangle 552">
              <a:extLs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60" y="5"/>
              <a:ext cx="7" cy="184"/>
            </a:xfrm>
            <a:prstGeom prst="rect">
              <a:avLst/>
            </a:prstGeom>
            <a:solidFill>
              <a:srgbClr val="FAEFD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7" name="Rectangle 553">
              <a:extLs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6" y="5"/>
              <a:ext cx="7" cy="184"/>
            </a:xfrm>
            <a:prstGeom prst="rect">
              <a:avLst/>
            </a:prstGeom>
            <a:solidFill>
              <a:srgbClr val="FAEFD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8" name="Rectangle 554">
              <a:extLst>
                <a:ext uri="{FF2B5EF4-FFF2-40B4-BE49-F238E27FC236}">
                  <a16:creationId xmlns:a16="http://schemas.microsoft.com/office/drawing/2014/main" id="{00000000-0008-0000-0000-00002A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1" y="5"/>
              <a:ext cx="7" cy="184"/>
            </a:xfrm>
            <a:prstGeom prst="rect">
              <a:avLst/>
            </a:prstGeom>
            <a:solidFill>
              <a:srgbClr val="FBF0D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79" name="Rectangle 555">
              <a:extLst>
                <a:ext uri="{FF2B5EF4-FFF2-40B4-BE49-F238E27FC236}">
                  <a16:creationId xmlns:a16="http://schemas.microsoft.com/office/drawing/2014/main" id="{00000000-0008-0000-0000-00002B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" y="5"/>
              <a:ext cx="7" cy="184"/>
            </a:xfrm>
            <a:prstGeom prst="rect">
              <a:avLst/>
            </a:prstGeom>
            <a:solidFill>
              <a:srgbClr val="FBF0D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580" name="Rectangle 556">
              <a:extLst>
                <a:ext uri="{FF2B5EF4-FFF2-40B4-BE49-F238E27FC236}">
                  <a16:creationId xmlns:a16="http://schemas.microsoft.com/office/drawing/2014/main" id="{00000000-0008-0000-0000-00002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5"/>
              <a:ext cx="7" cy="184"/>
            </a:xfrm>
            <a:prstGeom prst="rect">
              <a:avLst/>
            </a:prstGeom>
            <a:solidFill>
              <a:srgbClr val="FBF0D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582" name="Rectangle 558">
            <a:extLst>
              <a:ext uri="{FF2B5EF4-FFF2-40B4-BE49-F238E27FC236}">
                <a16:creationId xmlns:a16="http://schemas.microsoft.com/office/drawing/2014/main" id="{00000000-0008-0000-0000-00002E060000}"/>
              </a:ext>
            </a:extLst>
          </xdr:cNvPr>
          <xdr:cNvSpPr>
            <a:spLocks noChangeArrowheads="1"/>
          </xdr:cNvSpPr>
        </xdr:nvSpPr>
        <xdr:spPr bwMode="auto">
          <a:xfrm>
            <a:off x="2324100" y="47625"/>
            <a:ext cx="66675" cy="1752600"/>
          </a:xfrm>
          <a:prstGeom prst="rect">
            <a:avLst/>
          </a:prstGeom>
          <a:solidFill>
            <a:srgbClr val="FBF1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559">
            <a:extLst>
              <a:ext uri="{FF2B5EF4-FFF2-40B4-BE49-F238E27FC236}">
                <a16:creationId xmlns:a16="http://schemas.microsoft.com/office/drawing/2014/main" id="{00000000-0008-0000-0000-00002F060000}"/>
              </a:ext>
            </a:extLst>
          </xdr:cNvPr>
          <xdr:cNvSpPr>
            <a:spLocks noChangeArrowheads="1"/>
          </xdr:cNvSpPr>
        </xdr:nvSpPr>
        <xdr:spPr bwMode="auto">
          <a:xfrm>
            <a:off x="2276475" y="47625"/>
            <a:ext cx="66675" cy="1752600"/>
          </a:xfrm>
          <a:prstGeom prst="rect">
            <a:avLst/>
          </a:prstGeom>
          <a:solidFill>
            <a:srgbClr val="FBF1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560">
            <a:extLst>
              <a:ext uri="{FF2B5EF4-FFF2-40B4-BE49-F238E27FC236}">
                <a16:creationId xmlns:a16="http://schemas.microsoft.com/office/drawing/2014/main" id="{00000000-0008-0000-0000-000030060000}"/>
              </a:ext>
            </a:extLst>
          </xdr:cNvPr>
          <xdr:cNvSpPr>
            <a:spLocks noChangeArrowheads="1"/>
          </xdr:cNvSpPr>
        </xdr:nvSpPr>
        <xdr:spPr bwMode="auto">
          <a:xfrm>
            <a:off x="2238375" y="47625"/>
            <a:ext cx="66675" cy="1752600"/>
          </a:xfrm>
          <a:prstGeom prst="rect">
            <a:avLst/>
          </a:prstGeom>
          <a:solidFill>
            <a:srgbClr val="FBF1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561">
            <a:extLst>
              <a:ext uri="{FF2B5EF4-FFF2-40B4-BE49-F238E27FC236}">
                <a16:creationId xmlns:a16="http://schemas.microsoft.com/office/drawing/2014/main" id="{00000000-0008-0000-0000-000031060000}"/>
              </a:ext>
            </a:extLst>
          </xdr:cNvPr>
          <xdr:cNvSpPr>
            <a:spLocks noChangeArrowheads="1"/>
          </xdr:cNvSpPr>
        </xdr:nvSpPr>
        <xdr:spPr bwMode="auto">
          <a:xfrm>
            <a:off x="2190750" y="47625"/>
            <a:ext cx="66675" cy="1752600"/>
          </a:xfrm>
          <a:prstGeom prst="rect">
            <a:avLst/>
          </a:prstGeom>
          <a:solidFill>
            <a:srgbClr val="FBF2D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562">
            <a:extLst>
              <a:ext uri="{FF2B5EF4-FFF2-40B4-BE49-F238E27FC236}">
                <a16:creationId xmlns:a16="http://schemas.microsoft.com/office/drawing/2014/main" id="{00000000-0008-0000-0000-000032060000}"/>
              </a:ext>
            </a:extLst>
          </xdr:cNvPr>
          <xdr:cNvSpPr>
            <a:spLocks noChangeArrowheads="1"/>
          </xdr:cNvSpPr>
        </xdr:nvSpPr>
        <xdr:spPr bwMode="auto">
          <a:xfrm>
            <a:off x="2152650" y="47625"/>
            <a:ext cx="66675" cy="1752600"/>
          </a:xfrm>
          <a:prstGeom prst="rect">
            <a:avLst/>
          </a:prstGeom>
          <a:solidFill>
            <a:srgbClr val="FBF2D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563">
            <a:extLst>
              <a:ext uri="{FF2B5EF4-FFF2-40B4-BE49-F238E27FC236}">
                <a16:creationId xmlns:a16="http://schemas.microsoft.com/office/drawing/2014/main" id="{00000000-0008-0000-0000-000033060000}"/>
              </a:ext>
            </a:extLst>
          </xdr:cNvPr>
          <xdr:cNvSpPr>
            <a:spLocks noChangeArrowheads="1"/>
          </xdr:cNvSpPr>
        </xdr:nvSpPr>
        <xdr:spPr bwMode="auto">
          <a:xfrm>
            <a:off x="2105025" y="47625"/>
            <a:ext cx="66675" cy="1752600"/>
          </a:xfrm>
          <a:prstGeom prst="rect">
            <a:avLst/>
          </a:prstGeom>
          <a:solidFill>
            <a:srgbClr val="FBF2D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8" name="Rectangle 564">
            <a:extLst>
              <a:ext uri="{FF2B5EF4-FFF2-40B4-BE49-F238E27FC236}">
                <a16:creationId xmlns:a16="http://schemas.microsoft.com/office/drawing/2014/main" id="{00000000-0008-0000-0000-000034060000}"/>
              </a:ext>
            </a:extLst>
          </xdr:cNvPr>
          <xdr:cNvSpPr>
            <a:spLocks noChangeArrowheads="1"/>
          </xdr:cNvSpPr>
        </xdr:nvSpPr>
        <xdr:spPr bwMode="auto">
          <a:xfrm>
            <a:off x="2066925" y="47625"/>
            <a:ext cx="66675" cy="1752600"/>
          </a:xfrm>
          <a:prstGeom prst="rect">
            <a:avLst/>
          </a:prstGeom>
          <a:solidFill>
            <a:srgbClr val="FBF2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9" name="Rectangle 565">
            <a:extLst>
              <a:ext uri="{FF2B5EF4-FFF2-40B4-BE49-F238E27FC236}">
                <a16:creationId xmlns:a16="http://schemas.microsoft.com/office/drawing/2014/main" id="{00000000-0008-0000-0000-000035060000}"/>
              </a:ext>
            </a:extLst>
          </xdr:cNvPr>
          <xdr:cNvSpPr>
            <a:spLocks noChangeArrowheads="1"/>
          </xdr:cNvSpPr>
        </xdr:nvSpPr>
        <xdr:spPr bwMode="auto">
          <a:xfrm>
            <a:off x="2019300" y="47625"/>
            <a:ext cx="66675" cy="1752600"/>
          </a:xfrm>
          <a:prstGeom prst="rect">
            <a:avLst/>
          </a:prstGeom>
          <a:solidFill>
            <a:srgbClr val="FBF2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566">
            <a:extLst>
              <a:ext uri="{FF2B5EF4-FFF2-40B4-BE49-F238E27FC236}">
                <a16:creationId xmlns:a16="http://schemas.microsoft.com/office/drawing/2014/main" id="{00000000-0008-0000-0000-000036060000}"/>
              </a:ext>
            </a:extLst>
          </xdr:cNvPr>
          <xdr:cNvSpPr>
            <a:spLocks noChangeArrowheads="1"/>
          </xdr:cNvSpPr>
        </xdr:nvSpPr>
        <xdr:spPr bwMode="auto">
          <a:xfrm>
            <a:off x="1981200" y="47625"/>
            <a:ext cx="66675" cy="1752600"/>
          </a:xfrm>
          <a:prstGeom prst="rect">
            <a:avLst/>
          </a:prstGeom>
          <a:solidFill>
            <a:srgbClr val="FBF2D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567">
            <a:extLst>
              <a:ext uri="{FF2B5EF4-FFF2-40B4-BE49-F238E27FC236}">
                <a16:creationId xmlns:a16="http://schemas.microsoft.com/office/drawing/2014/main" id="{00000000-0008-0000-0000-000037060000}"/>
              </a:ext>
            </a:extLst>
          </xdr:cNvPr>
          <xdr:cNvSpPr>
            <a:spLocks noChangeArrowheads="1"/>
          </xdr:cNvSpPr>
        </xdr:nvSpPr>
        <xdr:spPr bwMode="auto">
          <a:xfrm>
            <a:off x="1943100" y="47625"/>
            <a:ext cx="57150" cy="1752600"/>
          </a:xfrm>
          <a:prstGeom prst="rect">
            <a:avLst/>
          </a:prstGeom>
          <a:solidFill>
            <a:srgbClr val="FCF3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568">
            <a:extLst>
              <a:ext uri="{FF2B5EF4-FFF2-40B4-BE49-F238E27FC236}">
                <a16:creationId xmlns:a16="http://schemas.microsoft.com/office/drawing/2014/main" id="{00000000-0008-0000-0000-000038060000}"/>
              </a:ext>
            </a:extLst>
          </xdr:cNvPr>
          <xdr:cNvSpPr>
            <a:spLocks noChangeArrowheads="1"/>
          </xdr:cNvSpPr>
        </xdr:nvSpPr>
        <xdr:spPr bwMode="auto">
          <a:xfrm>
            <a:off x="1895475" y="47625"/>
            <a:ext cx="66675" cy="1752600"/>
          </a:xfrm>
          <a:prstGeom prst="rect">
            <a:avLst/>
          </a:prstGeom>
          <a:solidFill>
            <a:srgbClr val="FCF3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569">
            <a:extLst>
              <a:ext uri="{FF2B5EF4-FFF2-40B4-BE49-F238E27FC236}">
                <a16:creationId xmlns:a16="http://schemas.microsoft.com/office/drawing/2014/main" id="{00000000-0008-0000-0000-000039060000}"/>
              </a:ext>
            </a:extLst>
          </xdr:cNvPr>
          <xdr:cNvSpPr>
            <a:spLocks noChangeArrowheads="1"/>
          </xdr:cNvSpPr>
        </xdr:nvSpPr>
        <xdr:spPr bwMode="auto">
          <a:xfrm>
            <a:off x="1857375" y="47625"/>
            <a:ext cx="57150" cy="1752600"/>
          </a:xfrm>
          <a:prstGeom prst="rect">
            <a:avLst/>
          </a:prstGeom>
          <a:solidFill>
            <a:srgbClr val="FCF3DB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570">
            <a:extLst>
              <a:ext uri="{FF2B5EF4-FFF2-40B4-BE49-F238E27FC236}">
                <a16:creationId xmlns:a16="http://schemas.microsoft.com/office/drawing/2014/main" id="{00000000-0008-0000-0000-00003A060000}"/>
              </a:ext>
            </a:extLst>
          </xdr:cNvPr>
          <xdr:cNvSpPr>
            <a:spLocks noChangeArrowheads="1"/>
          </xdr:cNvSpPr>
        </xdr:nvSpPr>
        <xdr:spPr bwMode="auto">
          <a:xfrm>
            <a:off x="1809750" y="47625"/>
            <a:ext cx="66675" cy="1752600"/>
          </a:xfrm>
          <a:prstGeom prst="rect">
            <a:avLst/>
          </a:prstGeom>
          <a:solidFill>
            <a:srgbClr val="FCF4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571">
            <a:extLst>
              <a:ext uri="{FF2B5EF4-FFF2-40B4-BE49-F238E27FC236}">
                <a16:creationId xmlns:a16="http://schemas.microsoft.com/office/drawing/2014/main" id="{00000000-0008-0000-0000-00003B060000}"/>
              </a:ext>
            </a:extLst>
          </xdr:cNvPr>
          <xdr:cNvSpPr>
            <a:spLocks noChangeArrowheads="1"/>
          </xdr:cNvSpPr>
        </xdr:nvSpPr>
        <xdr:spPr bwMode="auto">
          <a:xfrm>
            <a:off x="1771650" y="47625"/>
            <a:ext cx="57150" cy="1752600"/>
          </a:xfrm>
          <a:prstGeom prst="rect">
            <a:avLst/>
          </a:prstGeom>
          <a:solidFill>
            <a:srgbClr val="FCF4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572">
            <a:extLst>
              <a:ext uri="{FF2B5EF4-FFF2-40B4-BE49-F238E27FC236}">
                <a16:creationId xmlns:a16="http://schemas.microsoft.com/office/drawing/2014/main" id="{00000000-0008-0000-0000-00003C060000}"/>
              </a:ext>
            </a:extLst>
          </xdr:cNvPr>
          <xdr:cNvSpPr>
            <a:spLocks noChangeArrowheads="1"/>
          </xdr:cNvSpPr>
        </xdr:nvSpPr>
        <xdr:spPr bwMode="auto">
          <a:xfrm>
            <a:off x="1724025" y="47625"/>
            <a:ext cx="66675" cy="1752600"/>
          </a:xfrm>
          <a:prstGeom prst="rect">
            <a:avLst/>
          </a:prstGeom>
          <a:solidFill>
            <a:srgbClr val="FCF4D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573">
            <a:extLst>
              <a:ext uri="{FF2B5EF4-FFF2-40B4-BE49-F238E27FC236}">
                <a16:creationId xmlns:a16="http://schemas.microsoft.com/office/drawing/2014/main" id="{00000000-0008-0000-0000-00003D060000}"/>
              </a:ext>
            </a:extLst>
          </xdr:cNvPr>
          <xdr:cNvSpPr>
            <a:spLocks noChangeArrowheads="1"/>
          </xdr:cNvSpPr>
        </xdr:nvSpPr>
        <xdr:spPr bwMode="auto">
          <a:xfrm>
            <a:off x="1685925" y="47625"/>
            <a:ext cx="57150" cy="1752600"/>
          </a:xfrm>
          <a:prstGeom prst="rect">
            <a:avLst/>
          </a:prstGeom>
          <a:solidFill>
            <a:srgbClr val="FCF5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8" name="Rectangle 574">
            <a:extLst>
              <a:ext uri="{FF2B5EF4-FFF2-40B4-BE49-F238E27FC236}">
                <a16:creationId xmlns:a16="http://schemas.microsoft.com/office/drawing/2014/main" id="{00000000-0008-0000-0000-00003E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47625"/>
            <a:ext cx="66675" cy="1752600"/>
          </a:xfrm>
          <a:prstGeom prst="rect">
            <a:avLst/>
          </a:prstGeom>
          <a:solidFill>
            <a:srgbClr val="FCF5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9" name="Rectangle 575">
            <a:extLst>
              <a:ext uri="{FF2B5EF4-FFF2-40B4-BE49-F238E27FC236}">
                <a16:creationId xmlns:a16="http://schemas.microsoft.com/office/drawing/2014/main" id="{00000000-0008-0000-0000-00003F060000}"/>
              </a:ext>
            </a:extLst>
          </xdr:cNvPr>
          <xdr:cNvSpPr>
            <a:spLocks noChangeArrowheads="1"/>
          </xdr:cNvSpPr>
        </xdr:nvSpPr>
        <xdr:spPr bwMode="auto">
          <a:xfrm>
            <a:off x="1600200" y="47625"/>
            <a:ext cx="57150" cy="1752600"/>
          </a:xfrm>
          <a:prstGeom prst="rect">
            <a:avLst/>
          </a:prstGeom>
          <a:solidFill>
            <a:srgbClr val="FCF5E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576">
            <a:extLst>
              <a:ext uri="{FF2B5EF4-FFF2-40B4-BE49-F238E27FC236}">
                <a16:creationId xmlns:a16="http://schemas.microsoft.com/office/drawing/2014/main" id="{00000000-0008-0000-0000-000040060000}"/>
              </a:ext>
            </a:extLst>
          </xdr:cNvPr>
          <xdr:cNvSpPr>
            <a:spLocks noChangeArrowheads="1"/>
          </xdr:cNvSpPr>
        </xdr:nvSpPr>
        <xdr:spPr bwMode="auto">
          <a:xfrm>
            <a:off x="1552575" y="47625"/>
            <a:ext cx="66675" cy="1752600"/>
          </a:xfrm>
          <a:prstGeom prst="rect">
            <a:avLst/>
          </a:prstGeom>
          <a:solidFill>
            <a:srgbClr val="FCF6E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577">
            <a:extLst>
              <a:ext uri="{FF2B5EF4-FFF2-40B4-BE49-F238E27FC236}">
                <a16:creationId xmlns:a16="http://schemas.microsoft.com/office/drawing/2014/main" id="{00000000-0008-0000-0000-000041060000}"/>
              </a:ext>
            </a:extLst>
          </xdr:cNvPr>
          <xdr:cNvSpPr>
            <a:spLocks noChangeArrowheads="1"/>
          </xdr:cNvSpPr>
        </xdr:nvSpPr>
        <xdr:spPr bwMode="auto">
          <a:xfrm>
            <a:off x="1514475" y="47625"/>
            <a:ext cx="57150" cy="1752600"/>
          </a:xfrm>
          <a:prstGeom prst="rect">
            <a:avLst/>
          </a:prstGeom>
          <a:solidFill>
            <a:srgbClr val="FCF6E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578">
            <a:extLst>
              <a:ext uri="{FF2B5EF4-FFF2-40B4-BE49-F238E27FC236}">
                <a16:creationId xmlns:a16="http://schemas.microsoft.com/office/drawing/2014/main" id="{00000000-0008-0000-0000-000042060000}"/>
              </a:ext>
            </a:extLst>
          </xdr:cNvPr>
          <xdr:cNvSpPr>
            <a:spLocks noChangeArrowheads="1"/>
          </xdr:cNvSpPr>
        </xdr:nvSpPr>
        <xdr:spPr bwMode="auto">
          <a:xfrm>
            <a:off x="1466850" y="47625"/>
            <a:ext cx="66675" cy="1752600"/>
          </a:xfrm>
          <a:prstGeom prst="rect">
            <a:avLst/>
          </a:prstGeom>
          <a:solidFill>
            <a:srgbClr val="FCF6E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579">
            <a:extLst>
              <a:ext uri="{FF2B5EF4-FFF2-40B4-BE49-F238E27FC236}">
                <a16:creationId xmlns:a16="http://schemas.microsoft.com/office/drawing/2014/main" id="{00000000-0008-0000-0000-000043060000}"/>
              </a:ext>
            </a:extLst>
          </xdr:cNvPr>
          <xdr:cNvSpPr>
            <a:spLocks noChangeArrowheads="1"/>
          </xdr:cNvSpPr>
        </xdr:nvSpPr>
        <xdr:spPr bwMode="auto">
          <a:xfrm>
            <a:off x="1428750" y="47625"/>
            <a:ext cx="57150" cy="1752600"/>
          </a:xfrm>
          <a:prstGeom prst="rect">
            <a:avLst/>
          </a:prstGeom>
          <a:solidFill>
            <a:srgbClr val="FCF6E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580">
            <a:extLst>
              <a:ext uri="{FF2B5EF4-FFF2-40B4-BE49-F238E27FC236}">
                <a16:creationId xmlns:a16="http://schemas.microsoft.com/office/drawing/2014/main" id="{00000000-0008-0000-0000-000044060000}"/>
              </a:ext>
            </a:extLst>
          </xdr:cNvPr>
          <xdr:cNvSpPr>
            <a:spLocks noChangeArrowheads="1"/>
          </xdr:cNvSpPr>
        </xdr:nvSpPr>
        <xdr:spPr bwMode="auto">
          <a:xfrm>
            <a:off x="1381125" y="47625"/>
            <a:ext cx="66675" cy="1752600"/>
          </a:xfrm>
          <a:prstGeom prst="rect">
            <a:avLst/>
          </a:prstGeom>
          <a:solidFill>
            <a:srgbClr val="FCF6E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581">
            <a:extLst>
              <a:ext uri="{FF2B5EF4-FFF2-40B4-BE49-F238E27FC236}">
                <a16:creationId xmlns:a16="http://schemas.microsoft.com/office/drawing/2014/main" id="{00000000-0008-0000-0000-000045060000}"/>
              </a:ext>
            </a:extLst>
          </xdr:cNvPr>
          <xdr:cNvSpPr>
            <a:spLocks noChangeArrowheads="1"/>
          </xdr:cNvSpPr>
        </xdr:nvSpPr>
        <xdr:spPr bwMode="auto">
          <a:xfrm>
            <a:off x="1343025" y="47625"/>
            <a:ext cx="66675" cy="1752600"/>
          </a:xfrm>
          <a:prstGeom prst="rect">
            <a:avLst/>
          </a:prstGeom>
          <a:solidFill>
            <a:srgbClr val="FCF6E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582">
            <a:extLst>
              <a:ext uri="{FF2B5EF4-FFF2-40B4-BE49-F238E27FC236}">
                <a16:creationId xmlns:a16="http://schemas.microsoft.com/office/drawing/2014/main" id="{00000000-0008-0000-0000-000046060000}"/>
              </a:ext>
            </a:extLst>
          </xdr:cNvPr>
          <xdr:cNvSpPr>
            <a:spLocks noChangeArrowheads="1"/>
          </xdr:cNvSpPr>
        </xdr:nvSpPr>
        <xdr:spPr bwMode="auto">
          <a:xfrm>
            <a:off x="1295400" y="47625"/>
            <a:ext cx="66675" cy="1752600"/>
          </a:xfrm>
          <a:prstGeom prst="rect">
            <a:avLst/>
          </a:prstGeom>
          <a:solidFill>
            <a:srgbClr val="FDF7E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583">
            <a:extLst>
              <a:ext uri="{FF2B5EF4-FFF2-40B4-BE49-F238E27FC236}">
                <a16:creationId xmlns:a16="http://schemas.microsoft.com/office/drawing/2014/main" id="{00000000-0008-0000-0000-000047060000}"/>
              </a:ext>
            </a:extLst>
          </xdr:cNvPr>
          <xdr:cNvSpPr>
            <a:spLocks noChangeArrowheads="1"/>
          </xdr:cNvSpPr>
        </xdr:nvSpPr>
        <xdr:spPr bwMode="auto">
          <a:xfrm>
            <a:off x="1257300" y="47625"/>
            <a:ext cx="66675" cy="1752600"/>
          </a:xfrm>
          <a:prstGeom prst="rect">
            <a:avLst/>
          </a:prstGeom>
          <a:solidFill>
            <a:srgbClr val="FDF7E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8" name="Rectangle 584">
            <a:extLst>
              <a:ext uri="{FF2B5EF4-FFF2-40B4-BE49-F238E27FC236}">
                <a16:creationId xmlns:a16="http://schemas.microsoft.com/office/drawing/2014/main" id="{00000000-0008-0000-0000-000048060000}"/>
              </a:ext>
            </a:extLst>
          </xdr:cNvPr>
          <xdr:cNvSpPr>
            <a:spLocks noChangeArrowheads="1"/>
          </xdr:cNvSpPr>
        </xdr:nvSpPr>
        <xdr:spPr bwMode="auto">
          <a:xfrm>
            <a:off x="1209675" y="47625"/>
            <a:ext cx="66675" cy="1752600"/>
          </a:xfrm>
          <a:prstGeom prst="rect">
            <a:avLst/>
          </a:prstGeom>
          <a:solidFill>
            <a:srgbClr val="FDF7E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9" name="Rectangle 585">
            <a:extLst>
              <a:ext uri="{FF2B5EF4-FFF2-40B4-BE49-F238E27FC236}">
                <a16:creationId xmlns:a16="http://schemas.microsoft.com/office/drawing/2014/main" id="{00000000-0008-0000-0000-000049060000}"/>
              </a:ext>
            </a:extLst>
          </xdr:cNvPr>
          <xdr:cNvSpPr>
            <a:spLocks noChangeArrowheads="1"/>
          </xdr:cNvSpPr>
        </xdr:nvSpPr>
        <xdr:spPr bwMode="auto">
          <a:xfrm>
            <a:off x="1171575" y="47625"/>
            <a:ext cx="66675" cy="1752600"/>
          </a:xfrm>
          <a:prstGeom prst="rect">
            <a:avLst/>
          </a:prstGeom>
          <a:solidFill>
            <a:srgbClr val="FDF8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586">
            <a:extLst>
              <a:ext uri="{FF2B5EF4-FFF2-40B4-BE49-F238E27FC236}">
                <a16:creationId xmlns:a16="http://schemas.microsoft.com/office/drawing/2014/main" id="{00000000-0008-0000-0000-00004A060000}"/>
              </a:ext>
            </a:extLst>
          </xdr:cNvPr>
          <xdr:cNvSpPr>
            <a:spLocks noChangeArrowheads="1"/>
          </xdr:cNvSpPr>
        </xdr:nvSpPr>
        <xdr:spPr bwMode="auto">
          <a:xfrm>
            <a:off x="1123950" y="47625"/>
            <a:ext cx="66675" cy="1752600"/>
          </a:xfrm>
          <a:prstGeom prst="rect">
            <a:avLst/>
          </a:prstGeom>
          <a:solidFill>
            <a:srgbClr val="FDF8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587">
            <a:extLst>
              <a:ext uri="{FF2B5EF4-FFF2-40B4-BE49-F238E27FC236}">
                <a16:creationId xmlns:a16="http://schemas.microsoft.com/office/drawing/2014/main" id="{00000000-0008-0000-0000-00004B060000}"/>
              </a:ext>
            </a:extLst>
          </xdr:cNvPr>
          <xdr:cNvSpPr>
            <a:spLocks noChangeArrowheads="1"/>
          </xdr:cNvSpPr>
        </xdr:nvSpPr>
        <xdr:spPr bwMode="auto">
          <a:xfrm>
            <a:off x="1085850" y="47625"/>
            <a:ext cx="66675" cy="1752600"/>
          </a:xfrm>
          <a:prstGeom prst="rect">
            <a:avLst/>
          </a:prstGeom>
          <a:solidFill>
            <a:srgbClr val="FDF8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588">
            <a:extLst>
              <a:ext uri="{FF2B5EF4-FFF2-40B4-BE49-F238E27FC236}">
                <a16:creationId xmlns:a16="http://schemas.microsoft.com/office/drawing/2014/main" id="{00000000-0008-0000-0000-00004C060000}"/>
              </a:ext>
            </a:extLst>
          </xdr:cNvPr>
          <xdr:cNvSpPr>
            <a:spLocks noChangeArrowheads="1"/>
          </xdr:cNvSpPr>
        </xdr:nvSpPr>
        <xdr:spPr bwMode="auto">
          <a:xfrm>
            <a:off x="1038225" y="47625"/>
            <a:ext cx="66675" cy="1752600"/>
          </a:xfrm>
          <a:prstGeom prst="rect">
            <a:avLst/>
          </a:prstGeom>
          <a:solidFill>
            <a:srgbClr val="FDF9E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589">
            <a:extLst>
              <a:ext uri="{FF2B5EF4-FFF2-40B4-BE49-F238E27FC236}">
                <a16:creationId xmlns:a16="http://schemas.microsoft.com/office/drawing/2014/main" id="{00000000-0008-0000-0000-00004D060000}"/>
              </a:ext>
            </a:extLst>
          </xdr:cNvPr>
          <xdr:cNvSpPr>
            <a:spLocks noChangeArrowheads="1"/>
          </xdr:cNvSpPr>
        </xdr:nvSpPr>
        <xdr:spPr bwMode="auto">
          <a:xfrm>
            <a:off x="1000125" y="47625"/>
            <a:ext cx="66675" cy="1752600"/>
          </a:xfrm>
          <a:prstGeom prst="rect">
            <a:avLst/>
          </a:prstGeom>
          <a:solidFill>
            <a:srgbClr val="FDF9E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590">
            <a:extLst>
              <a:ext uri="{FF2B5EF4-FFF2-40B4-BE49-F238E27FC236}">
                <a16:creationId xmlns:a16="http://schemas.microsoft.com/office/drawing/2014/main" id="{00000000-0008-0000-0000-00004E060000}"/>
              </a:ext>
            </a:extLst>
          </xdr:cNvPr>
          <xdr:cNvSpPr>
            <a:spLocks noChangeArrowheads="1"/>
          </xdr:cNvSpPr>
        </xdr:nvSpPr>
        <xdr:spPr bwMode="auto">
          <a:xfrm>
            <a:off x="952500" y="47625"/>
            <a:ext cx="66675" cy="1752600"/>
          </a:xfrm>
          <a:prstGeom prst="rect">
            <a:avLst/>
          </a:prstGeom>
          <a:solidFill>
            <a:srgbClr val="FDF9E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591">
            <a:extLst>
              <a:ext uri="{FF2B5EF4-FFF2-40B4-BE49-F238E27FC236}">
                <a16:creationId xmlns:a16="http://schemas.microsoft.com/office/drawing/2014/main" id="{00000000-0008-0000-0000-00004F060000}"/>
              </a:ext>
            </a:extLst>
          </xdr:cNvPr>
          <xdr:cNvSpPr>
            <a:spLocks noChangeArrowheads="1"/>
          </xdr:cNvSpPr>
        </xdr:nvSpPr>
        <xdr:spPr bwMode="auto">
          <a:xfrm>
            <a:off x="914400" y="47625"/>
            <a:ext cx="66675" cy="1752600"/>
          </a:xfrm>
          <a:prstGeom prst="rect">
            <a:avLst/>
          </a:prstGeom>
          <a:solidFill>
            <a:srgbClr val="FDF9E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592">
            <a:extLst>
              <a:ext uri="{FF2B5EF4-FFF2-40B4-BE49-F238E27FC236}">
                <a16:creationId xmlns:a16="http://schemas.microsoft.com/office/drawing/2014/main" id="{00000000-0008-0000-0000-000050060000}"/>
              </a:ext>
            </a:extLst>
          </xdr:cNvPr>
          <xdr:cNvSpPr>
            <a:spLocks noChangeArrowheads="1"/>
          </xdr:cNvSpPr>
        </xdr:nvSpPr>
        <xdr:spPr bwMode="auto">
          <a:xfrm>
            <a:off x="866775" y="47625"/>
            <a:ext cx="66675" cy="1752600"/>
          </a:xfrm>
          <a:prstGeom prst="rect">
            <a:avLst/>
          </a:prstGeom>
          <a:solidFill>
            <a:srgbClr val="FDF9E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593">
            <a:extLst>
              <a:ext uri="{FF2B5EF4-FFF2-40B4-BE49-F238E27FC236}">
                <a16:creationId xmlns:a16="http://schemas.microsoft.com/office/drawing/2014/main" id="{00000000-0008-0000-0000-000051060000}"/>
              </a:ext>
            </a:extLst>
          </xdr:cNvPr>
          <xdr:cNvSpPr>
            <a:spLocks noChangeArrowheads="1"/>
          </xdr:cNvSpPr>
        </xdr:nvSpPr>
        <xdr:spPr bwMode="auto">
          <a:xfrm>
            <a:off x="828675" y="47625"/>
            <a:ext cx="66675" cy="1752600"/>
          </a:xfrm>
          <a:prstGeom prst="rect">
            <a:avLst/>
          </a:prstGeom>
          <a:solidFill>
            <a:srgbClr val="FDF9E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8" name="Rectangle 594">
            <a:extLst>
              <a:ext uri="{FF2B5EF4-FFF2-40B4-BE49-F238E27FC236}">
                <a16:creationId xmlns:a16="http://schemas.microsoft.com/office/drawing/2014/main" id="{00000000-0008-0000-0000-000052060000}"/>
              </a:ext>
            </a:extLst>
          </xdr:cNvPr>
          <xdr:cNvSpPr>
            <a:spLocks noChangeArrowheads="1"/>
          </xdr:cNvSpPr>
        </xdr:nvSpPr>
        <xdr:spPr bwMode="auto">
          <a:xfrm>
            <a:off x="781050" y="47625"/>
            <a:ext cx="66675" cy="1752600"/>
          </a:xfrm>
          <a:prstGeom prst="rect">
            <a:avLst/>
          </a:prstGeom>
          <a:solidFill>
            <a:srgbClr val="FEFAF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9" name="Rectangle 595">
            <a:extLst>
              <a:ext uri="{FF2B5EF4-FFF2-40B4-BE49-F238E27FC236}">
                <a16:creationId xmlns:a16="http://schemas.microsoft.com/office/drawing/2014/main" id="{00000000-0008-0000-0000-000053060000}"/>
              </a:ext>
            </a:extLst>
          </xdr:cNvPr>
          <xdr:cNvSpPr>
            <a:spLocks noChangeArrowheads="1"/>
          </xdr:cNvSpPr>
        </xdr:nvSpPr>
        <xdr:spPr bwMode="auto">
          <a:xfrm>
            <a:off x="742950" y="47625"/>
            <a:ext cx="66675" cy="1752600"/>
          </a:xfrm>
          <a:prstGeom prst="rect">
            <a:avLst/>
          </a:prstGeom>
          <a:solidFill>
            <a:srgbClr val="FEFAF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596">
            <a:extLst>
              <a:ext uri="{FF2B5EF4-FFF2-40B4-BE49-F238E27FC236}">
                <a16:creationId xmlns:a16="http://schemas.microsoft.com/office/drawing/2014/main" id="{00000000-0008-0000-0000-000054060000}"/>
              </a:ext>
            </a:extLst>
          </xdr:cNvPr>
          <xdr:cNvSpPr>
            <a:spLocks noChangeArrowheads="1"/>
          </xdr:cNvSpPr>
        </xdr:nvSpPr>
        <xdr:spPr bwMode="auto">
          <a:xfrm>
            <a:off x="704850" y="47625"/>
            <a:ext cx="57150" cy="1752600"/>
          </a:xfrm>
          <a:prstGeom prst="rect">
            <a:avLst/>
          </a:prstGeom>
          <a:solidFill>
            <a:srgbClr val="FEFAF1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597">
            <a:extLst>
              <a:ext uri="{FF2B5EF4-FFF2-40B4-BE49-F238E27FC236}">
                <a16:creationId xmlns:a16="http://schemas.microsoft.com/office/drawing/2014/main" id="{00000000-0008-0000-0000-000055060000}"/>
              </a:ext>
            </a:extLst>
          </xdr:cNvPr>
          <xdr:cNvSpPr>
            <a:spLocks noChangeArrowheads="1"/>
          </xdr:cNvSpPr>
        </xdr:nvSpPr>
        <xdr:spPr bwMode="auto">
          <a:xfrm>
            <a:off x="657225" y="47625"/>
            <a:ext cx="66675" cy="1752600"/>
          </a:xfrm>
          <a:prstGeom prst="rect">
            <a:avLst/>
          </a:prstGeom>
          <a:solidFill>
            <a:srgbClr val="FEFB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598">
            <a:extLst>
              <a:ext uri="{FF2B5EF4-FFF2-40B4-BE49-F238E27FC236}">
                <a16:creationId xmlns:a16="http://schemas.microsoft.com/office/drawing/2014/main" id="{00000000-0008-0000-0000-000056060000}"/>
              </a:ext>
            </a:extLst>
          </xdr:cNvPr>
          <xdr:cNvSpPr>
            <a:spLocks noChangeArrowheads="1"/>
          </xdr:cNvSpPr>
        </xdr:nvSpPr>
        <xdr:spPr bwMode="auto">
          <a:xfrm>
            <a:off x="619125" y="47625"/>
            <a:ext cx="57150" cy="1752600"/>
          </a:xfrm>
          <a:prstGeom prst="rect">
            <a:avLst/>
          </a:prstGeom>
          <a:solidFill>
            <a:srgbClr val="FEFB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599">
            <a:extLst>
              <a:ext uri="{FF2B5EF4-FFF2-40B4-BE49-F238E27FC236}">
                <a16:creationId xmlns:a16="http://schemas.microsoft.com/office/drawing/2014/main" id="{00000000-0008-0000-0000-000057060000}"/>
              </a:ext>
            </a:extLst>
          </xdr:cNvPr>
          <xdr:cNvSpPr>
            <a:spLocks noChangeArrowheads="1"/>
          </xdr:cNvSpPr>
        </xdr:nvSpPr>
        <xdr:spPr bwMode="auto">
          <a:xfrm>
            <a:off x="571500" y="47625"/>
            <a:ext cx="66675" cy="1752600"/>
          </a:xfrm>
          <a:prstGeom prst="rect">
            <a:avLst/>
          </a:prstGeom>
          <a:solidFill>
            <a:srgbClr val="FEFB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600">
            <a:extLst>
              <a:ext uri="{FF2B5EF4-FFF2-40B4-BE49-F238E27FC236}">
                <a16:creationId xmlns:a16="http://schemas.microsoft.com/office/drawing/2014/main" id="{00000000-0008-0000-0000-000058060000}"/>
              </a:ext>
            </a:extLst>
          </xdr:cNvPr>
          <xdr:cNvSpPr>
            <a:spLocks noChangeArrowheads="1"/>
          </xdr:cNvSpPr>
        </xdr:nvSpPr>
        <xdr:spPr bwMode="auto">
          <a:xfrm>
            <a:off x="533400" y="47625"/>
            <a:ext cx="57150" cy="1752600"/>
          </a:xfrm>
          <a:prstGeom prst="rect">
            <a:avLst/>
          </a:prstGeom>
          <a:solidFill>
            <a:srgbClr val="FEFC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601">
            <a:extLst>
              <a:ext uri="{FF2B5EF4-FFF2-40B4-BE49-F238E27FC236}">
                <a16:creationId xmlns:a16="http://schemas.microsoft.com/office/drawing/2014/main" id="{00000000-0008-0000-0000-000059060000}"/>
              </a:ext>
            </a:extLst>
          </xdr:cNvPr>
          <xdr:cNvSpPr>
            <a:spLocks noChangeArrowheads="1"/>
          </xdr:cNvSpPr>
        </xdr:nvSpPr>
        <xdr:spPr bwMode="auto">
          <a:xfrm>
            <a:off x="485775" y="47625"/>
            <a:ext cx="66675" cy="1752600"/>
          </a:xfrm>
          <a:prstGeom prst="rect">
            <a:avLst/>
          </a:prstGeom>
          <a:solidFill>
            <a:srgbClr val="FEFC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602">
            <a:extLst>
              <a:ext uri="{FF2B5EF4-FFF2-40B4-BE49-F238E27FC236}">
                <a16:creationId xmlns:a16="http://schemas.microsoft.com/office/drawing/2014/main" id="{00000000-0008-0000-0000-00005A060000}"/>
              </a:ext>
            </a:extLst>
          </xdr:cNvPr>
          <xdr:cNvSpPr>
            <a:spLocks noChangeArrowheads="1"/>
          </xdr:cNvSpPr>
        </xdr:nvSpPr>
        <xdr:spPr bwMode="auto">
          <a:xfrm>
            <a:off x="447675" y="47625"/>
            <a:ext cx="57150" cy="1752600"/>
          </a:xfrm>
          <a:prstGeom prst="rect">
            <a:avLst/>
          </a:prstGeom>
          <a:solidFill>
            <a:srgbClr val="FEFCF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603">
            <a:extLst>
              <a:ext uri="{FF2B5EF4-FFF2-40B4-BE49-F238E27FC236}">
                <a16:creationId xmlns:a16="http://schemas.microsoft.com/office/drawing/2014/main" id="{00000000-0008-0000-0000-00005B060000}"/>
              </a:ext>
            </a:extLst>
          </xdr:cNvPr>
          <xdr:cNvSpPr>
            <a:spLocks noChangeArrowheads="1"/>
          </xdr:cNvSpPr>
        </xdr:nvSpPr>
        <xdr:spPr bwMode="auto">
          <a:xfrm>
            <a:off x="400050" y="47625"/>
            <a:ext cx="66675" cy="1752600"/>
          </a:xfrm>
          <a:prstGeom prst="rect">
            <a:avLst/>
          </a:prstGeom>
          <a:solidFill>
            <a:srgbClr val="FEFD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8" name="Rectangle 604">
            <a:extLst>
              <a:ext uri="{FF2B5EF4-FFF2-40B4-BE49-F238E27FC236}">
                <a16:creationId xmlns:a16="http://schemas.microsoft.com/office/drawing/2014/main" id="{00000000-0008-0000-0000-00005C060000}"/>
              </a:ext>
            </a:extLst>
          </xdr:cNvPr>
          <xdr:cNvSpPr>
            <a:spLocks noChangeArrowheads="1"/>
          </xdr:cNvSpPr>
        </xdr:nvSpPr>
        <xdr:spPr bwMode="auto">
          <a:xfrm>
            <a:off x="361950" y="47625"/>
            <a:ext cx="57150" cy="1752600"/>
          </a:xfrm>
          <a:prstGeom prst="rect">
            <a:avLst/>
          </a:prstGeom>
          <a:solidFill>
            <a:srgbClr val="FEFD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9" name="Rectangle 605">
            <a:extLst>
              <a:ext uri="{FF2B5EF4-FFF2-40B4-BE49-F238E27FC236}">
                <a16:creationId xmlns:a16="http://schemas.microsoft.com/office/drawing/2014/main" id="{00000000-0008-0000-0000-00005D060000}"/>
              </a:ext>
            </a:extLst>
          </xdr:cNvPr>
          <xdr:cNvSpPr>
            <a:spLocks noChangeArrowheads="1"/>
          </xdr:cNvSpPr>
        </xdr:nvSpPr>
        <xdr:spPr bwMode="auto">
          <a:xfrm>
            <a:off x="314325" y="47625"/>
            <a:ext cx="66675" cy="1752600"/>
          </a:xfrm>
          <a:prstGeom prst="rect">
            <a:avLst/>
          </a:prstGeom>
          <a:solidFill>
            <a:srgbClr val="FEFDF8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606">
            <a:extLst>
              <a:ext uri="{FF2B5EF4-FFF2-40B4-BE49-F238E27FC236}">
                <a16:creationId xmlns:a16="http://schemas.microsoft.com/office/drawing/2014/main" id="{00000000-0008-0000-0000-00005E060000}"/>
              </a:ext>
            </a:extLst>
          </xdr:cNvPr>
          <xdr:cNvSpPr>
            <a:spLocks noChangeArrowheads="1"/>
          </xdr:cNvSpPr>
        </xdr:nvSpPr>
        <xdr:spPr bwMode="auto">
          <a:xfrm>
            <a:off x="276225" y="47625"/>
            <a:ext cx="57150" cy="1752600"/>
          </a:xfrm>
          <a:prstGeom prst="rect">
            <a:avLst/>
          </a:prstGeom>
          <a:solidFill>
            <a:srgbClr val="FFFDF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607">
            <a:extLst>
              <a:ext uri="{FF2B5EF4-FFF2-40B4-BE49-F238E27FC236}">
                <a16:creationId xmlns:a16="http://schemas.microsoft.com/office/drawing/2014/main" id="{00000000-0008-0000-0000-00005F060000}"/>
              </a:ext>
            </a:extLst>
          </xdr:cNvPr>
          <xdr:cNvSpPr>
            <a:spLocks noChangeArrowheads="1"/>
          </xdr:cNvSpPr>
        </xdr:nvSpPr>
        <xdr:spPr bwMode="auto">
          <a:xfrm>
            <a:off x="228600" y="47625"/>
            <a:ext cx="66675" cy="1752600"/>
          </a:xfrm>
          <a:prstGeom prst="rect">
            <a:avLst/>
          </a:prstGeom>
          <a:solidFill>
            <a:srgbClr val="FFFDF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608">
            <a:extLst>
              <a:ext uri="{FF2B5EF4-FFF2-40B4-BE49-F238E27FC236}">
                <a16:creationId xmlns:a16="http://schemas.microsoft.com/office/drawing/2014/main" id="{00000000-0008-0000-0000-000060060000}"/>
              </a:ext>
            </a:extLst>
          </xdr:cNvPr>
          <xdr:cNvSpPr>
            <a:spLocks noChangeArrowheads="1"/>
          </xdr:cNvSpPr>
        </xdr:nvSpPr>
        <xdr:spPr bwMode="auto">
          <a:xfrm>
            <a:off x="190500" y="47625"/>
            <a:ext cx="57150" cy="1752600"/>
          </a:xfrm>
          <a:prstGeom prst="rect">
            <a:avLst/>
          </a:prstGeom>
          <a:solidFill>
            <a:srgbClr val="FFFDF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609">
            <a:extLst>
              <a:ext uri="{FF2B5EF4-FFF2-40B4-BE49-F238E27FC236}">
                <a16:creationId xmlns:a16="http://schemas.microsoft.com/office/drawing/2014/main" id="{00000000-0008-0000-0000-000061060000}"/>
              </a:ext>
            </a:extLst>
          </xdr:cNvPr>
          <xdr:cNvSpPr>
            <a:spLocks noChangeArrowheads="1"/>
          </xdr:cNvSpPr>
        </xdr:nvSpPr>
        <xdr:spPr bwMode="auto">
          <a:xfrm>
            <a:off x="142875" y="47625"/>
            <a:ext cx="66675" cy="1752600"/>
          </a:xfrm>
          <a:prstGeom prst="rect">
            <a:avLst/>
          </a:prstGeom>
          <a:solidFill>
            <a:srgbClr val="FFFEF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610">
            <a:extLst>
              <a:ext uri="{FF2B5EF4-FFF2-40B4-BE49-F238E27FC236}">
                <a16:creationId xmlns:a16="http://schemas.microsoft.com/office/drawing/2014/main" id="{00000000-0008-0000-0000-000062060000}"/>
              </a:ext>
            </a:extLst>
          </xdr:cNvPr>
          <xdr:cNvSpPr>
            <a:spLocks noChangeArrowheads="1"/>
          </xdr:cNvSpPr>
        </xdr:nvSpPr>
        <xdr:spPr bwMode="auto">
          <a:xfrm>
            <a:off x="104775" y="47625"/>
            <a:ext cx="66675" cy="1752600"/>
          </a:xfrm>
          <a:prstGeom prst="rect">
            <a:avLst/>
          </a:prstGeom>
          <a:solidFill>
            <a:srgbClr val="FFFEF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611">
            <a:extLst>
              <a:ext uri="{FF2B5EF4-FFF2-40B4-BE49-F238E27FC236}">
                <a16:creationId xmlns:a16="http://schemas.microsoft.com/office/drawing/2014/main" id="{00000000-0008-0000-0000-000063060000}"/>
              </a:ext>
            </a:extLst>
          </xdr:cNvPr>
          <xdr:cNvSpPr>
            <a:spLocks noChangeArrowheads="1"/>
          </xdr:cNvSpPr>
        </xdr:nvSpPr>
        <xdr:spPr bwMode="auto">
          <a:xfrm>
            <a:off x="57150" y="47625"/>
            <a:ext cx="66675" cy="1752600"/>
          </a:xfrm>
          <a:prstGeom prst="rect">
            <a:avLst/>
          </a:prstGeom>
          <a:solidFill>
            <a:srgbClr val="FFFEF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612">
            <a:extLst>
              <a:ext uri="{FF2B5EF4-FFF2-40B4-BE49-F238E27FC236}">
                <a16:creationId xmlns:a16="http://schemas.microsoft.com/office/drawing/2014/main" id="{00000000-0008-0000-0000-000064060000}"/>
              </a:ext>
            </a:extLst>
          </xdr:cNvPr>
          <xdr:cNvSpPr>
            <a:spLocks noChangeArrowheads="1"/>
          </xdr:cNvSpPr>
        </xdr:nvSpPr>
        <xdr:spPr bwMode="auto">
          <a:xfrm>
            <a:off x="19050" y="47625"/>
            <a:ext cx="66675" cy="175260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613">
            <a:extLst>
              <a:ext uri="{FF2B5EF4-FFF2-40B4-BE49-F238E27FC236}">
                <a16:creationId xmlns:a16="http://schemas.microsoft.com/office/drawing/2014/main" id="{00000000-0008-0000-0000-000065060000}"/>
              </a:ext>
            </a:extLst>
          </xdr:cNvPr>
          <xdr:cNvSpPr>
            <a:spLocks noChangeArrowheads="1"/>
          </xdr:cNvSpPr>
        </xdr:nvSpPr>
        <xdr:spPr bwMode="auto">
          <a:xfrm>
            <a:off x="0" y="47625"/>
            <a:ext cx="38100" cy="175260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8" name="Freeform 614">
            <a:extLst>
              <a:ext uri="{FF2B5EF4-FFF2-40B4-BE49-F238E27FC236}">
                <a16:creationId xmlns:a16="http://schemas.microsoft.com/office/drawing/2014/main" id="{00000000-0008-0000-0000-000066060000}"/>
              </a:ext>
            </a:extLst>
          </xdr:cNvPr>
          <xdr:cNvSpPr>
            <a:spLocks noEditPoints="1"/>
          </xdr:cNvSpPr>
        </xdr:nvSpPr>
        <xdr:spPr bwMode="auto">
          <a:xfrm>
            <a:off x="7829550" y="257175"/>
            <a:ext cx="2895600" cy="1533525"/>
          </a:xfrm>
          <a:custGeom>
            <a:avLst/>
            <a:gdLst>
              <a:gd name="T0" fmla="*/ 4270 w 5606"/>
              <a:gd name="T1" fmla="*/ 533 h 2623"/>
              <a:gd name="T2" fmla="*/ 4904 w 5606"/>
              <a:gd name="T3" fmla="*/ 1067 h 2623"/>
              <a:gd name="T4" fmla="*/ 3546 w 5606"/>
              <a:gd name="T5" fmla="*/ 1568 h 2623"/>
              <a:gd name="T6" fmla="*/ 3416 w 5606"/>
              <a:gd name="T7" fmla="*/ 1506 h 2623"/>
              <a:gd name="T8" fmla="*/ 3738 w 5606"/>
              <a:gd name="T9" fmla="*/ 1431 h 2623"/>
              <a:gd name="T10" fmla="*/ 2668 w 5606"/>
              <a:gd name="T11" fmla="*/ 1172 h 2623"/>
              <a:gd name="T12" fmla="*/ 2075 w 5606"/>
              <a:gd name="T13" fmla="*/ 724 h 2623"/>
              <a:gd name="T14" fmla="*/ 1793 w 5606"/>
              <a:gd name="T15" fmla="*/ 697 h 2623"/>
              <a:gd name="T16" fmla="*/ 1636 w 5606"/>
              <a:gd name="T17" fmla="*/ 535 h 2623"/>
              <a:gd name="T18" fmla="*/ 1621 w 5606"/>
              <a:gd name="T19" fmla="*/ 519 h 2623"/>
              <a:gd name="T20" fmla="*/ 2378 w 5606"/>
              <a:gd name="T21" fmla="*/ 473 h 2623"/>
              <a:gd name="T22" fmla="*/ 3107 w 5606"/>
              <a:gd name="T23" fmla="*/ 992 h 2623"/>
              <a:gd name="T24" fmla="*/ 2289 w 5606"/>
              <a:gd name="T25" fmla="*/ 331 h 2623"/>
              <a:gd name="T26" fmla="*/ 1781 w 5606"/>
              <a:gd name="T27" fmla="*/ 311 h 2623"/>
              <a:gd name="T28" fmla="*/ 4270 w 5606"/>
              <a:gd name="T29" fmla="*/ 533 h 2623"/>
              <a:gd name="T30" fmla="*/ 5500 w 5606"/>
              <a:gd name="T31" fmla="*/ 2132 h 2623"/>
              <a:gd name="T32" fmla="*/ 5606 w 5606"/>
              <a:gd name="T33" fmla="*/ 2623 h 2623"/>
              <a:gd name="T34" fmla="*/ 5333 w 5606"/>
              <a:gd name="T35" fmla="*/ 2623 h 2623"/>
              <a:gd name="T36" fmla="*/ 5226 w 5606"/>
              <a:gd name="T37" fmla="*/ 2479 h 2623"/>
              <a:gd name="T38" fmla="*/ 4882 w 5606"/>
              <a:gd name="T39" fmla="*/ 2623 h 2623"/>
              <a:gd name="T40" fmla="*/ 4564 w 5606"/>
              <a:gd name="T41" fmla="*/ 2623 h 2623"/>
              <a:gd name="T42" fmla="*/ 4995 w 5606"/>
              <a:gd name="T43" fmla="*/ 2137 h 2623"/>
              <a:gd name="T44" fmla="*/ 5500 w 5606"/>
              <a:gd name="T45" fmla="*/ 2132 h 2623"/>
              <a:gd name="T46" fmla="*/ 4309 w 5606"/>
              <a:gd name="T47" fmla="*/ 2492 h 2623"/>
              <a:gd name="T48" fmla="*/ 4040 w 5606"/>
              <a:gd name="T49" fmla="*/ 1984 h 2623"/>
              <a:gd name="T50" fmla="*/ 4633 w 5606"/>
              <a:gd name="T51" fmla="*/ 2057 h 2623"/>
              <a:gd name="T52" fmla="*/ 4309 w 5606"/>
              <a:gd name="T53" fmla="*/ 2492 h 2623"/>
              <a:gd name="T54" fmla="*/ 2269 w 5606"/>
              <a:gd name="T55" fmla="*/ 1475 h 2623"/>
              <a:gd name="T56" fmla="*/ 2239 w 5606"/>
              <a:gd name="T57" fmla="*/ 1486 h 2623"/>
              <a:gd name="T58" fmla="*/ 2045 w 5606"/>
              <a:gd name="T59" fmla="*/ 1434 h 2623"/>
              <a:gd name="T60" fmla="*/ 2269 w 5606"/>
              <a:gd name="T61" fmla="*/ 1475 h 2623"/>
              <a:gd name="T62" fmla="*/ 0 w 5606"/>
              <a:gd name="T63" fmla="*/ 2623 h 2623"/>
              <a:gd name="T64" fmla="*/ 348 w 5606"/>
              <a:gd name="T65" fmla="*/ 1567 h 2623"/>
              <a:gd name="T66" fmla="*/ 225 w 5606"/>
              <a:gd name="T67" fmla="*/ 1911 h 2623"/>
              <a:gd name="T68" fmla="*/ 126 w 5606"/>
              <a:gd name="T69" fmla="*/ 2623 h 2623"/>
              <a:gd name="T70" fmla="*/ 0 w 5606"/>
              <a:gd name="T71" fmla="*/ 2623 h 2623"/>
              <a:gd name="T72" fmla="*/ 218 w 5606"/>
              <a:gd name="T73" fmla="*/ 2623 h 2623"/>
              <a:gd name="T74" fmla="*/ 314 w 5606"/>
              <a:gd name="T75" fmla="*/ 2054 h 2623"/>
              <a:gd name="T76" fmla="*/ 842 w 5606"/>
              <a:gd name="T77" fmla="*/ 1067 h 2623"/>
              <a:gd name="T78" fmla="*/ 943 w 5606"/>
              <a:gd name="T79" fmla="*/ 1129 h 2623"/>
              <a:gd name="T80" fmla="*/ 493 w 5606"/>
              <a:gd name="T81" fmla="*/ 1935 h 2623"/>
              <a:gd name="T82" fmla="*/ 423 w 5606"/>
              <a:gd name="T83" fmla="*/ 2623 h 2623"/>
              <a:gd name="T84" fmla="*/ 218 w 5606"/>
              <a:gd name="T85" fmla="*/ 2623 h 2623"/>
              <a:gd name="T86" fmla="*/ 2655 w 5606"/>
              <a:gd name="T87" fmla="*/ 1167 h 2623"/>
              <a:gd name="T88" fmla="*/ 2143 w 5606"/>
              <a:gd name="T89" fmla="*/ 833 h 2623"/>
              <a:gd name="T90" fmla="*/ 1923 w 5606"/>
              <a:gd name="T91" fmla="*/ 805 h 2623"/>
              <a:gd name="T92" fmla="*/ 2655 w 5606"/>
              <a:gd name="T93" fmla="*/ 1167 h 2623"/>
              <a:gd name="T94" fmla="*/ 1053 w 5606"/>
              <a:gd name="T95" fmla="*/ 1196 h 2623"/>
              <a:gd name="T96" fmla="*/ 561 w 5606"/>
              <a:gd name="T97" fmla="*/ 2045 h 2623"/>
              <a:gd name="T98" fmla="*/ 485 w 5606"/>
              <a:gd name="T99" fmla="*/ 2623 h 2623"/>
              <a:gd name="T100" fmla="*/ 987 w 5606"/>
              <a:gd name="T101" fmla="*/ 2623 h 2623"/>
              <a:gd name="T102" fmla="*/ 983 w 5606"/>
              <a:gd name="T103" fmla="*/ 2539 h 2623"/>
              <a:gd name="T104" fmla="*/ 898 w 5606"/>
              <a:gd name="T105" fmla="*/ 2340 h 2623"/>
              <a:gd name="T106" fmla="*/ 1102 w 5606"/>
              <a:gd name="T107" fmla="*/ 2053 h 2623"/>
              <a:gd name="T108" fmla="*/ 1238 w 5606"/>
              <a:gd name="T109" fmla="*/ 1863 h 2623"/>
              <a:gd name="T110" fmla="*/ 1081 w 5606"/>
              <a:gd name="T111" fmla="*/ 1212 h 2623"/>
              <a:gd name="T112" fmla="*/ 1053 w 5606"/>
              <a:gd name="T113" fmla="*/ 1196 h 26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5606" h="2623">
                <a:moveTo>
                  <a:pt x="4270" y="533"/>
                </a:moveTo>
                <a:cubicBezTo>
                  <a:pt x="4512" y="683"/>
                  <a:pt x="4724" y="863"/>
                  <a:pt x="4904" y="1067"/>
                </a:cubicBezTo>
                <a:cubicBezTo>
                  <a:pt x="4512" y="1326"/>
                  <a:pt x="4053" y="1504"/>
                  <a:pt x="3546" y="1568"/>
                </a:cubicBezTo>
                <a:cubicBezTo>
                  <a:pt x="3503" y="1545"/>
                  <a:pt x="3460" y="1524"/>
                  <a:pt x="3416" y="1506"/>
                </a:cubicBezTo>
                <a:cubicBezTo>
                  <a:pt x="3533" y="1489"/>
                  <a:pt x="3642" y="1464"/>
                  <a:pt x="3738" y="1431"/>
                </a:cubicBezTo>
                <a:cubicBezTo>
                  <a:pt x="3293" y="1347"/>
                  <a:pt x="2946" y="1263"/>
                  <a:pt x="2668" y="1172"/>
                </a:cubicBezTo>
                <a:cubicBezTo>
                  <a:pt x="2528" y="948"/>
                  <a:pt x="2325" y="787"/>
                  <a:pt x="2075" y="724"/>
                </a:cubicBezTo>
                <a:cubicBezTo>
                  <a:pt x="1982" y="700"/>
                  <a:pt x="1887" y="692"/>
                  <a:pt x="1793" y="697"/>
                </a:cubicBezTo>
                <a:cubicBezTo>
                  <a:pt x="1738" y="646"/>
                  <a:pt x="1686" y="593"/>
                  <a:pt x="1636" y="535"/>
                </a:cubicBezTo>
                <a:cubicBezTo>
                  <a:pt x="1630" y="529"/>
                  <a:pt x="1626" y="524"/>
                  <a:pt x="1621" y="519"/>
                </a:cubicBezTo>
                <a:cubicBezTo>
                  <a:pt x="1868" y="431"/>
                  <a:pt x="2127" y="411"/>
                  <a:pt x="2378" y="473"/>
                </a:cubicBezTo>
                <a:cubicBezTo>
                  <a:pt x="2679" y="549"/>
                  <a:pt x="2928" y="735"/>
                  <a:pt x="3107" y="992"/>
                </a:cubicBezTo>
                <a:cubicBezTo>
                  <a:pt x="2925" y="661"/>
                  <a:pt x="2644" y="420"/>
                  <a:pt x="2289" y="331"/>
                </a:cubicBezTo>
                <a:cubicBezTo>
                  <a:pt x="2121" y="289"/>
                  <a:pt x="1950" y="284"/>
                  <a:pt x="1781" y="311"/>
                </a:cubicBezTo>
                <a:cubicBezTo>
                  <a:pt x="2571" y="0"/>
                  <a:pt x="3490" y="52"/>
                  <a:pt x="4270" y="533"/>
                </a:cubicBezTo>
                <a:close/>
                <a:moveTo>
                  <a:pt x="5500" y="2132"/>
                </a:moveTo>
                <a:cubicBezTo>
                  <a:pt x="5550" y="2292"/>
                  <a:pt x="5585" y="2457"/>
                  <a:pt x="5606" y="2623"/>
                </a:cubicBezTo>
                <a:lnTo>
                  <a:pt x="5333" y="2623"/>
                </a:lnTo>
                <a:cubicBezTo>
                  <a:pt x="5317" y="2550"/>
                  <a:pt x="5282" y="2501"/>
                  <a:pt x="5226" y="2479"/>
                </a:cubicBezTo>
                <a:cubicBezTo>
                  <a:pt x="5118" y="2439"/>
                  <a:pt x="5019" y="2503"/>
                  <a:pt x="4882" y="2623"/>
                </a:cubicBezTo>
                <a:lnTo>
                  <a:pt x="4564" y="2623"/>
                </a:lnTo>
                <a:lnTo>
                  <a:pt x="4995" y="2137"/>
                </a:lnTo>
                <a:cubicBezTo>
                  <a:pt x="5173" y="2140"/>
                  <a:pt x="5341" y="2138"/>
                  <a:pt x="5500" y="2132"/>
                </a:cubicBezTo>
                <a:close/>
                <a:moveTo>
                  <a:pt x="4309" y="2492"/>
                </a:moveTo>
                <a:cubicBezTo>
                  <a:pt x="4250" y="2310"/>
                  <a:pt x="4160" y="2137"/>
                  <a:pt x="4040" y="1984"/>
                </a:cubicBezTo>
                <a:lnTo>
                  <a:pt x="4633" y="2057"/>
                </a:lnTo>
                <a:lnTo>
                  <a:pt x="4309" y="2492"/>
                </a:lnTo>
                <a:close/>
                <a:moveTo>
                  <a:pt x="2269" y="1475"/>
                </a:moveTo>
                <a:cubicBezTo>
                  <a:pt x="2259" y="1479"/>
                  <a:pt x="2249" y="1482"/>
                  <a:pt x="2239" y="1486"/>
                </a:cubicBezTo>
                <a:cubicBezTo>
                  <a:pt x="2174" y="1471"/>
                  <a:pt x="2110" y="1453"/>
                  <a:pt x="2045" y="1434"/>
                </a:cubicBezTo>
                <a:cubicBezTo>
                  <a:pt x="2119" y="1449"/>
                  <a:pt x="2194" y="1463"/>
                  <a:pt x="2269" y="1475"/>
                </a:cubicBezTo>
                <a:close/>
                <a:moveTo>
                  <a:pt x="0" y="2623"/>
                </a:moveTo>
                <a:cubicBezTo>
                  <a:pt x="46" y="2261"/>
                  <a:pt x="160" y="1903"/>
                  <a:pt x="348" y="1567"/>
                </a:cubicBezTo>
                <a:cubicBezTo>
                  <a:pt x="300" y="1677"/>
                  <a:pt x="259" y="1791"/>
                  <a:pt x="225" y="1911"/>
                </a:cubicBezTo>
                <a:cubicBezTo>
                  <a:pt x="157" y="2153"/>
                  <a:pt x="125" y="2393"/>
                  <a:pt x="126" y="2623"/>
                </a:cubicBezTo>
                <a:lnTo>
                  <a:pt x="0" y="2623"/>
                </a:lnTo>
                <a:close/>
                <a:moveTo>
                  <a:pt x="218" y="2623"/>
                </a:moveTo>
                <a:cubicBezTo>
                  <a:pt x="228" y="2437"/>
                  <a:pt x="259" y="2246"/>
                  <a:pt x="314" y="2054"/>
                </a:cubicBezTo>
                <a:cubicBezTo>
                  <a:pt x="423" y="1669"/>
                  <a:pt x="609" y="1333"/>
                  <a:pt x="842" y="1067"/>
                </a:cubicBezTo>
                <a:cubicBezTo>
                  <a:pt x="875" y="1088"/>
                  <a:pt x="909" y="1109"/>
                  <a:pt x="943" y="1129"/>
                </a:cubicBezTo>
                <a:cubicBezTo>
                  <a:pt x="743" y="1340"/>
                  <a:pt x="583" y="1616"/>
                  <a:pt x="493" y="1935"/>
                </a:cubicBezTo>
                <a:cubicBezTo>
                  <a:pt x="426" y="2171"/>
                  <a:pt x="404" y="2405"/>
                  <a:pt x="423" y="2623"/>
                </a:cubicBezTo>
                <a:lnTo>
                  <a:pt x="218" y="2623"/>
                </a:lnTo>
                <a:close/>
                <a:moveTo>
                  <a:pt x="2655" y="1167"/>
                </a:moveTo>
                <a:cubicBezTo>
                  <a:pt x="2522" y="1003"/>
                  <a:pt x="2349" y="885"/>
                  <a:pt x="2143" y="833"/>
                </a:cubicBezTo>
                <a:cubicBezTo>
                  <a:pt x="2070" y="815"/>
                  <a:pt x="1997" y="806"/>
                  <a:pt x="1923" y="805"/>
                </a:cubicBezTo>
                <a:cubicBezTo>
                  <a:pt x="2108" y="945"/>
                  <a:pt x="2337" y="1062"/>
                  <a:pt x="2655" y="1167"/>
                </a:cubicBezTo>
                <a:close/>
                <a:moveTo>
                  <a:pt x="1053" y="1196"/>
                </a:moveTo>
                <a:cubicBezTo>
                  <a:pt x="834" y="1411"/>
                  <a:pt x="657" y="1703"/>
                  <a:pt x="561" y="2045"/>
                </a:cubicBezTo>
                <a:cubicBezTo>
                  <a:pt x="505" y="2242"/>
                  <a:pt x="481" y="2437"/>
                  <a:pt x="485" y="2623"/>
                </a:cubicBezTo>
                <a:lnTo>
                  <a:pt x="987" y="2623"/>
                </a:lnTo>
                <a:cubicBezTo>
                  <a:pt x="985" y="2595"/>
                  <a:pt x="984" y="2567"/>
                  <a:pt x="983" y="2539"/>
                </a:cubicBezTo>
                <a:cubicBezTo>
                  <a:pt x="931" y="2483"/>
                  <a:pt x="899" y="2414"/>
                  <a:pt x="898" y="2340"/>
                </a:cubicBezTo>
                <a:cubicBezTo>
                  <a:pt x="896" y="2218"/>
                  <a:pt x="978" y="2111"/>
                  <a:pt x="1102" y="2053"/>
                </a:cubicBezTo>
                <a:cubicBezTo>
                  <a:pt x="1139" y="1985"/>
                  <a:pt x="1184" y="1921"/>
                  <a:pt x="1238" y="1863"/>
                </a:cubicBezTo>
                <a:lnTo>
                  <a:pt x="1081" y="1212"/>
                </a:lnTo>
                <a:lnTo>
                  <a:pt x="1053" y="1196"/>
                </a:lnTo>
                <a:close/>
              </a:path>
            </a:pathLst>
          </a:custGeom>
          <a:solidFill>
            <a:srgbClr val="BC831D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39" name="Freeform 615">
            <a:extLst>
              <a:ext uri="{FF2B5EF4-FFF2-40B4-BE49-F238E27FC236}">
                <a16:creationId xmlns:a16="http://schemas.microsoft.com/office/drawing/2014/main" id="{00000000-0008-0000-0000-000067060000}"/>
              </a:ext>
            </a:extLst>
          </xdr:cNvPr>
          <xdr:cNvSpPr>
            <a:spLocks noEditPoints="1"/>
          </xdr:cNvSpPr>
        </xdr:nvSpPr>
        <xdr:spPr bwMode="auto">
          <a:xfrm>
            <a:off x="7781925" y="333375"/>
            <a:ext cx="3200400" cy="1457325"/>
          </a:xfrm>
          <a:custGeom>
            <a:avLst/>
            <a:gdLst>
              <a:gd name="T0" fmla="*/ 4202 w 6189"/>
              <a:gd name="T1" fmla="*/ 2483 h 2483"/>
              <a:gd name="T2" fmla="*/ 4605 w 6189"/>
              <a:gd name="T3" fmla="*/ 2000 h 2483"/>
              <a:gd name="T4" fmla="*/ 2820 w 6189"/>
              <a:gd name="T5" fmla="*/ 1676 h 2483"/>
              <a:gd name="T6" fmla="*/ 2808 w 6189"/>
              <a:gd name="T7" fmla="*/ 1731 h 2483"/>
              <a:gd name="T8" fmla="*/ 3104 w 6189"/>
              <a:gd name="T9" fmla="*/ 1959 h 2483"/>
              <a:gd name="T10" fmla="*/ 3188 w 6189"/>
              <a:gd name="T11" fmla="*/ 1935 h 2483"/>
              <a:gd name="T12" fmla="*/ 3544 w 6189"/>
              <a:gd name="T13" fmla="*/ 2003 h 2483"/>
              <a:gd name="T14" fmla="*/ 4176 w 6189"/>
              <a:gd name="T15" fmla="*/ 2405 h 2483"/>
              <a:gd name="T16" fmla="*/ 4117 w 6189"/>
              <a:gd name="T17" fmla="*/ 2483 h 2483"/>
              <a:gd name="T18" fmla="*/ 2777 w 6189"/>
              <a:gd name="T19" fmla="*/ 2483 h 2483"/>
              <a:gd name="T20" fmla="*/ 2352 w 6189"/>
              <a:gd name="T21" fmla="*/ 1537 h 2483"/>
              <a:gd name="T22" fmla="*/ 2703 w 6189"/>
              <a:gd name="T23" fmla="*/ 2483 h 2483"/>
              <a:gd name="T24" fmla="*/ 2294 w 6189"/>
              <a:gd name="T25" fmla="*/ 2483 h 2483"/>
              <a:gd name="T26" fmla="*/ 2309 w 6189"/>
              <a:gd name="T27" fmla="*/ 2433 h 2483"/>
              <a:gd name="T28" fmla="*/ 1945 w 6189"/>
              <a:gd name="T29" fmla="*/ 1540 h 2483"/>
              <a:gd name="T30" fmla="*/ 1270 w 6189"/>
              <a:gd name="T31" fmla="*/ 1885 h 2483"/>
              <a:gd name="T32" fmla="*/ 989 w 6189"/>
              <a:gd name="T33" fmla="*/ 2200 h 2483"/>
              <a:gd name="T34" fmla="*/ 1119 w 6189"/>
              <a:gd name="T35" fmla="*/ 2440 h 2483"/>
              <a:gd name="T36" fmla="*/ 1121 w 6189"/>
              <a:gd name="T37" fmla="*/ 2483 h 2483"/>
              <a:gd name="T38" fmla="*/ 909 w 6189"/>
              <a:gd name="T39" fmla="*/ 2483 h 2483"/>
              <a:gd name="T40" fmla="*/ 940 w 6189"/>
              <a:gd name="T41" fmla="*/ 2071 h 2483"/>
              <a:gd name="T42" fmla="*/ 1219 w 6189"/>
              <a:gd name="T43" fmla="*/ 1576 h 2483"/>
              <a:gd name="T44" fmla="*/ 1127 w 6189"/>
              <a:gd name="T45" fmla="*/ 1073 h 2483"/>
              <a:gd name="T46" fmla="*/ 2055 w 6189"/>
              <a:gd name="T47" fmla="*/ 666 h 2483"/>
              <a:gd name="T48" fmla="*/ 2744 w 6189"/>
              <a:gd name="T49" fmla="*/ 1025 h 2483"/>
              <a:gd name="T50" fmla="*/ 2794 w 6189"/>
              <a:gd name="T51" fmla="*/ 1091 h 2483"/>
              <a:gd name="T52" fmla="*/ 2758 w 6189"/>
              <a:gd name="T53" fmla="*/ 1030 h 2483"/>
              <a:gd name="T54" fmla="*/ 3458 w 6189"/>
              <a:gd name="T55" fmla="*/ 1250 h 2483"/>
              <a:gd name="T56" fmla="*/ 3746 w 6189"/>
              <a:gd name="T57" fmla="*/ 1324 h 2483"/>
              <a:gd name="T58" fmla="*/ 2055 w 6189"/>
              <a:gd name="T59" fmla="*/ 1232 h 2483"/>
              <a:gd name="T60" fmla="*/ 5107 w 6189"/>
              <a:gd name="T61" fmla="*/ 950 h 2483"/>
              <a:gd name="T62" fmla="*/ 5389 w 6189"/>
              <a:gd name="T63" fmla="*/ 938 h 2483"/>
              <a:gd name="T64" fmla="*/ 6189 w 6189"/>
              <a:gd name="T65" fmla="*/ 1262 h 2483"/>
              <a:gd name="T66" fmla="*/ 6189 w 6189"/>
              <a:gd name="T67" fmla="*/ 2099 h 2483"/>
              <a:gd name="T68" fmla="*/ 4963 w 6189"/>
              <a:gd name="T69" fmla="*/ 2100 h 2483"/>
              <a:gd name="T70" fmla="*/ 4583 w 6189"/>
              <a:gd name="T71" fmla="*/ 2483 h 2483"/>
              <a:gd name="T72" fmla="*/ 4202 w 6189"/>
              <a:gd name="T73" fmla="*/ 2483 h 2483"/>
              <a:gd name="T74" fmla="*/ 3399 w 6189"/>
              <a:gd name="T75" fmla="*/ 2315 h 2483"/>
              <a:gd name="T76" fmla="*/ 3467 w 6189"/>
              <a:gd name="T77" fmla="*/ 2305 h 2483"/>
              <a:gd name="T78" fmla="*/ 3399 w 6189"/>
              <a:gd name="T79" fmla="*/ 1960 h 2483"/>
              <a:gd name="T80" fmla="*/ 3505 w 6189"/>
              <a:gd name="T81" fmla="*/ 2347 h 2483"/>
              <a:gd name="T82" fmla="*/ 3108 w 6189"/>
              <a:gd name="T83" fmla="*/ 2024 h 2483"/>
              <a:gd name="T84" fmla="*/ 3399 w 6189"/>
              <a:gd name="T85" fmla="*/ 2315 h 2483"/>
              <a:gd name="T86" fmla="*/ 4989 w 6189"/>
              <a:gd name="T87" fmla="*/ 2483 h 2483"/>
              <a:gd name="T88" fmla="*/ 5279 w 6189"/>
              <a:gd name="T89" fmla="*/ 2405 h 2483"/>
              <a:gd name="T90" fmla="*/ 5363 w 6189"/>
              <a:gd name="T91" fmla="*/ 2483 h 2483"/>
              <a:gd name="T92" fmla="*/ 4989 w 6189"/>
              <a:gd name="T93" fmla="*/ 2483 h 2483"/>
              <a:gd name="T94" fmla="*/ 1430 w 6189"/>
              <a:gd name="T95" fmla="*/ 1417 h 2483"/>
              <a:gd name="T96" fmla="*/ 1855 w 6189"/>
              <a:gd name="T97" fmla="*/ 1326 h 2483"/>
              <a:gd name="T98" fmla="*/ 1859 w 6189"/>
              <a:gd name="T99" fmla="*/ 1326 h 2483"/>
              <a:gd name="T100" fmla="*/ 1399 w 6189"/>
              <a:gd name="T101" fmla="*/ 1107 h 2483"/>
              <a:gd name="T102" fmla="*/ 1430 w 6189"/>
              <a:gd name="T103" fmla="*/ 1417 h 2483"/>
              <a:gd name="T104" fmla="*/ 1082 w 6189"/>
              <a:gd name="T105" fmla="*/ 940 h 2483"/>
              <a:gd name="T106" fmla="*/ 983 w 6189"/>
              <a:gd name="T107" fmla="*/ 873 h 2483"/>
              <a:gd name="T108" fmla="*/ 1742 w 6189"/>
              <a:gd name="T109" fmla="*/ 368 h 2483"/>
              <a:gd name="T110" fmla="*/ 1921 w 6189"/>
              <a:gd name="T111" fmla="*/ 556 h 2483"/>
              <a:gd name="T112" fmla="*/ 1082 w 6189"/>
              <a:gd name="T113" fmla="*/ 940 h 2483"/>
              <a:gd name="T114" fmla="*/ 849 w 6189"/>
              <a:gd name="T115" fmla="*/ 779 h 2483"/>
              <a:gd name="T116" fmla="*/ 52 w 6189"/>
              <a:gd name="T117" fmla="*/ 127 h 2483"/>
              <a:gd name="T118" fmla="*/ 169 w 6189"/>
              <a:gd name="T119" fmla="*/ 22 h 2483"/>
              <a:gd name="T120" fmla="*/ 1474 w 6189"/>
              <a:gd name="T121" fmla="*/ 177 h 2483"/>
              <a:gd name="T122" fmla="*/ 1629 w 6189"/>
              <a:gd name="T123" fmla="*/ 234 h 2483"/>
              <a:gd name="T124" fmla="*/ 849 w 6189"/>
              <a:gd name="T125" fmla="*/ 779 h 24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6189" h="2483">
                <a:moveTo>
                  <a:pt x="4202" y="2483"/>
                </a:moveTo>
                <a:lnTo>
                  <a:pt x="4605" y="2000"/>
                </a:lnTo>
                <a:lnTo>
                  <a:pt x="2820" y="1676"/>
                </a:lnTo>
                <a:lnTo>
                  <a:pt x="2808" y="1731"/>
                </a:lnTo>
                <a:cubicBezTo>
                  <a:pt x="2935" y="1783"/>
                  <a:pt x="3020" y="1836"/>
                  <a:pt x="3104" y="1959"/>
                </a:cubicBezTo>
                <a:lnTo>
                  <a:pt x="3188" y="1935"/>
                </a:lnTo>
                <a:cubicBezTo>
                  <a:pt x="3314" y="1889"/>
                  <a:pt x="3440" y="1941"/>
                  <a:pt x="3544" y="2003"/>
                </a:cubicBezTo>
                <a:lnTo>
                  <a:pt x="4176" y="2405"/>
                </a:lnTo>
                <a:lnTo>
                  <a:pt x="4117" y="2483"/>
                </a:lnTo>
                <a:lnTo>
                  <a:pt x="2777" y="2483"/>
                </a:lnTo>
                <a:cubicBezTo>
                  <a:pt x="2858" y="2061"/>
                  <a:pt x="2723" y="1641"/>
                  <a:pt x="2352" y="1537"/>
                </a:cubicBezTo>
                <a:cubicBezTo>
                  <a:pt x="2611" y="1656"/>
                  <a:pt x="2780" y="2043"/>
                  <a:pt x="2703" y="2483"/>
                </a:cubicBezTo>
                <a:lnTo>
                  <a:pt x="2294" y="2483"/>
                </a:lnTo>
                <a:cubicBezTo>
                  <a:pt x="2299" y="2467"/>
                  <a:pt x="2305" y="2450"/>
                  <a:pt x="2309" y="2433"/>
                </a:cubicBezTo>
                <a:cubicBezTo>
                  <a:pt x="2427" y="2020"/>
                  <a:pt x="2263" y="1620"/>
                  <a:pt x="1945" y="1540"/>
                </a:cubicBezTo>
                <a:cubicBezTo>
                  <a:pt x="1699" y="1478"/>
                  <a:pt x="1433" y="1625"/>
                  <a:pt x="1270" y="1885"/>
                </a:cubicBezTo>
                <a:cubicBezTo>
                  <a:pt x="1105" y="1930"/>
                  <a:pt x="987" y="2053"/>
                  <a:pt x="989" y="2200"/>
                </a:cubicBezTo>
                <a:cubicBezTo>
                  <a:pt x="990" y="2293"/>
                  <a:pt x="1040" y="2378"/>
                  <a:pt x="1119" y="2440"/>
                </a:cubicBezTo>
                <a:cubicBezTo>
                  <a:pt x="1119" y="2454"/>
                  <a:pt x="1120" y="2469"/>
                  <a:pt x="1121" y="2483"/>
                </a:cubicBezTo>
                <a:lnTo>
                  <a:pt x="909" y="2483"/>
                </a:lnTo>
                <a:cubicBezTo>
                  <a:pt x="894" y="2351"/>
                  <a:pt x="903" y="2211"/>
                  <a:pt x="940" y="2071"/>
                </a:cubicBezTo>
                <a:cubicBezTo>
                  <a:pt x="992" y="1873"/>
                  <a:pt x="1092" y="1703"/>
                  <a:pt x="1219" y="1576"/>
                </a:cubicBezTo>
                <a:lnTo>
                  <a:pt x="1127" y="1073"/>
                </a:lnTo>
                <a:cubicBezTo>
                  <a:pt x="1394" y="803"/>
                  <a:pt x="1727" y="649"/>
                  <a:pt x="2055" y="666"/>
                </a:cubicBezTo>
                <a:cubicBezTo>
                  <a:pt x="2231" y="798"/>
                  <a:pt x="2449" y="913"/>
                  <a:pt x="2744" y="1025"/>
                </a:cubicBezTo>
                <a:cubicBezTo>
                  <a:pt x="2761" y="1046"/>
                  <a:pt x="2778" y="1068"/>
                  <a:pt x="2794" y="1091"/>
                </a:cubicBezTo>
                <a:cubicBezTo>
                  <a:pt x="2782" y="1070"/>
                  <a:pt x="2770" y="1050"/>
                  <a:pt x="2758" y="1030"/>
                </a:cubicBezTo>
                <a:cubicBezTo>
                  <a:pt x="2954" y="1104"/>
                  <a:pt x="3184" y="1176"/>
                  <a:pt x="3458" y="1250"/>
                </a:cubicBezTo>
                <a:cubicBezTo>
                  <a:pt x="3549" y="1274"/>
                  <a:pt x="3645" y="1299"/>
                  <a:pt x="3746" y="1324"/>
                </a:cubicBezTo>
                <a:cubicBezTo>
                  <a:pt x="3312" y="1447"/>
                  <a:pt x="2637" y="1386"/>
                  <a:pt x="2055" y="1232"/>
                </a:cubicBezTo>
                <a:cubicBezTo>
                  <a:pt x="3214" y="1648"/>
                  <a:pt x="4311" y="1478"/>
                  <a:pt x="5107" y="950"/>
                </a:cubicBezTo>
                <a:cubicBezTo>
                  <a:pt x="5150" y="921"/>
                  <a:pt x="5286" y="887"/>
                  <a:pt x="5389" y="938"/>
                </a:cubicBezTo>
                <a:lnTo>
                  <a:pt x="6189" y="1262"/>
                </a:lnTo>
                <a:lnTo>
                  <a:pt x="6189" y="2099"/>
                </a:lnTo>
                <a:cubicBezTo>
                  <a:pt x="5835" y="2133"/>
                  <a:pt x="5434" y="2133"/>
                  <a:pt x="4963" y="2100"/>
                </a:cubicBezTo>
                <a:lnTo>
                  <a:pt x="4583" y="2483"/>
                </a:lnTo>
                <a:lnTo>
                  <a:pt x="4202" y="2483"/>
                </a:lnTo>
                <a:close/>
                <a:moveTo>
                  <a:pt x="3399" y="2315"/>
                </a:moveTo>
                <a:cubicBezTo>
                  <a:pt x="3420" y="2323"/>
                  <a:pt x="3455" y="2316"/>
                  <a:pt x="3467" y="2305"/>
                </a:cubicBezTo>
                <a:cubicBezTo>
                  <a:pt x="3535" y="2242"/>
                  <a:pt x="3515" y="2036"/>
                  <a:pt x="3399" y="1960"/>
                </a:cubicBezTo>
                <a:cubicBezTo>
                  <a:pt x="3547" y="2030"/>
                  <a:pt x="3608" y="2252"/>
                  <a:pt x="3505" y="2347"/>
                </a:cubicBezTo>
                <a:cubicBezTo>
                  <a:pt x="3360" y="2482"/>
                  <a:pt x="3145" y="2096"/>
                  <a:pt x="3108" y="2024"/>
                </a:cubicBezTo>
                <a:cubicBezTo>
                  <a:pt x="3186" y="2113"/>
                  <a:pt x="3248" y="2257"/>
                  <a:pt x="3399" y="2315"/>
                </a:cubicBezTo>
                <a:close/>
                <a:moveTo>
                  <a:pt x="4989" y="2483"/>
                </a:moveTo>
                <a:cubicBezTo>
                  <a:pt x="5102" y="2402"/>
                  <a:pt x="5189" y="2366"/>
                  <a:pt x="5279" y="2405"/>
                </a:cubicBezTo>
                <a:cubicBezTo>
                  <a:pt x="5315" y="2422"/>
                  <a:pt x="5343" y="2448"/>
                  <a:pt x="5363" y="2483"/>
                </a:cubicBezTo>
                <a:lnTo>
                  <a:pt x="4989" y="2483"/>
                </a:lnTo>
                <a:close/>
                <a:moveTo>
                  <a:pt x="1430" y="1417"/>
                </a:moveTo>
                <a:cubicBezTo>
                  <a:pt x="1563" y="1346"/>
                  <a:pt x="1709" y="1312"/>
                  <a:pt x="1855" y="1326"/>
                </a:cubicBezTo>
                <a:lnTo>
                  <a:pt x="1859" y="1326"/>
                </a:lnTo>
                <a:lnTo>
                  <a:pt x="1399" y="1107"/>
                </a:lnTo>
                <a:lnTo>
                  <a:pt x="1430" y="1417"/>
                </a:lnTo>
                <a:close/>
                <a:moveTo>
                  <a:pt x="1082" y="940"/>
                </a:moveTo>
                <a:cubicBezTo>
                  <a:pt x="1049" y="918"/>
                  <a:pt x="1015" y="895"/>
                  <a:pt x="983" y="873"/>
                </a:cubicBezTo>
                <a:cubicBezTo>
                  <a:pt x="1206" y="634"/>
                  <a:pt x="1468" y="459"/>
                  <a:pt x="1742" y="368"/>
                </a:cubicBezTo>
                <a:cubicBezTo>
                  <a:pt x="1798" y="435"/>
                  <a:pt x="1857" y="497"/>
                  <a:pt x="1921" y="556"/>
                </a:cubicBezTo>
                <a:cubicBezTo>
                  <a:pt x="1624" y="561"/>
                  <a:pt x="1327" y="702"/>
                  <a:pt x="1082" y="940"/>
                </a:cubicBezTo>
                <a:close/>
                <a:moveTo>
                  <a:pt x="849" y="779"/>
                </a:moveTo>
                <a:cubicBezTo>
                  <a:pt x="537" y="557"/>
                  <a:pt x="281" y="342"/>
                  <a:pt x="52" y="127"/>
                </a:cubicBezTo>
                <a:cubicBezTo>
                  <a:pt x="13" y="58"/>
                  <a:pt x="0" y="0"/>
                  <a:pt x="169" y="22"/>
                </a:cubicBezTo>
                <a:lnTo>
                  <a:pt x="1474" y="177"/>
                </a:lnTo>
                <a:cubicBezTo>
                  <a:pt x="1563" y="200"/>
                  <a:pt x="1593" y="201"/>
                  <a:pt x="1629" y="234"/>
                </a:cubicBezTo>
                <a:cubicBezTo>
                  <a:pt x="1345" y="333"/>
                  <a:pt x="1075" y="523"/>
                  <a:pt x="849" y="779"/>
                </a:cubicBezTo>
                <a:close/>
              </a:path>
            </a:pathLst>
          </a:custGeom>
          <a:solidFill>
            <a:srgbClr val="B47E1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0" name="Freeform 616">
            <a:extLst>
              <a:ext uri="{FF2B5EF4-FFF2-40B4-BE49-F238E27FC236}">
                <a16:creationId xmlns:a16="http://schemas.microsoft.com/office/drawing/2014/main" id="{00000000-0008-0000-0000-000068060000}"/>
              </a:ext>
            </a:extLst>
          </xdr:cNvPr>
          <xdr:cNvSpPr>
            <a:spLocks/>
          </xdr:cNvSpPr>
        </xdr:nvSpPr>
        <xdr:spPr bwMode="auto">
          <a:xfrm>
            <a:off x="8305800" y="1438275"/>
            <a:ext cx="438150" cy="352425"/>
          </a:xfrm>
          <a:custGeom>
            <a:avLst/>
            <a:gdLst>
              <a:gd name="T0" fmla="*/ 483 w 848"/>
              <a:gd name="T1" fmla="*/ 46 h 591"/>
              <a:gd name="T2" fmla="*/ 812 w 848"/>
              <a:gd name="T3" fmla="*/ 457 h 591"/>
              <a:gd name="T4" fmla="*/ 744 w 848"/>
              <a:gd name="T5" fmla="*/ 591 h 591"/>
              <a:gd name="T6" fmla="*/ 130 w 848"/>
              <a:gd name="T7" fmla="*/ 591 h 591"/>
              <a:gd name="T8" fmla="*/ 22 w 848"/>
              <a:gd name="T9" fmla="*/ 292 h 591"/>
              <a:gd name="T10" fmla="*/ 483 w 848"/>
              <a:gd name="T11" fmla="*/ 46 h 5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848" h="591">
                <a:moveTo>
                  <a:pt x="483" y="46"/>
                </a:moveTo>
                <a:cubicBezTo>
                  <a:pt x="701" y="92"/>
                  <a:pt x="848" y="276"/>
                  <a:pt x="812" y="457"/>
                </a:cubicBezTo>
                <a:cubicBezTo>
                  <a:pt x="801" y="508"/>
                  <a:pt x="777" y="553"/>
                  <a:pt x="744" y="591"/>
                </a:cubicBezTo>
                <a:lnTo>
                  <a:pt x="130" y="591"/>
                </a:lnTo>
                <a:cubicBezTo>
                  <a:pt x="44" y="511"/>
                  <a:pt x="0" y="401"/>
                  <a:pt x="22" y="292"/>
                </a:cubicBezTo>
                <a:cubicBezTo>
                  <a:pt x="58" y="111"/>
                  <a:pt x="265" y="0"/>
                  <a:pt x="483" y="46"/>
                </a:cubicBezTo>
                <a:close/>
              </a:path>
            </a:pathLst>
          </a:custGeom>
          <a:solidFill>
            <a:srgbClr val="B9801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1" name="Rectangle 617">
            <a:extLst>
              <a:ext uri="{FF2B5EF4-FFF2-40B4-BE49-F238E27FC236}">
                <a16:creationId xmlns:a16="http://schemas.microsoft.com/office/drawing/2014/main" id="{00000000-0008-0000-0000-000069060000}"/>
              </a:ext>
            </a:extLst>
          </xdr:cNvPr>
          <xdr:cNvSpPr>
            <a:spLocks noChangeArrowheads="1"/>
          </xdr:cNvSpPr>
        </xdr:nvSpPr>
        <xdr:spPr bwMode="auto">
          <a:xfrm>
            <a:off x="8115300" y="971550"/>
            <a:ext cx="270510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B2029"/>
                </a:solidFill>
                <a:latin typeface="Times New Roman"/>
                <a:cs typeface="Times New Roman"/>
              </a:rPr>
              <a:t>    цены действительны с 01.03.2026 г.</a:t>
            </a:r>
          </a:p>
        </xdr:txBody>
      </xdr:sp>
      <xdr:sp macro="" textlink="">
        <xdr:nvSpPr>
          <xdr:cNvPr id="1642" name="Rectangle 618">
            <a:extLst>
              <a:ext uri="{FF2B5EF4-FFF2-40B4-BE49-F238E27FC236}">
                <a16:creationId xmlns:a16="http://schemas.microsoft.com/office/drawing/2014/main" id="{00000000-0008-0000-0000-00006A060000}"/>
              </a:ext>
            </a:extLst>
          </xdr:cNvPr>
          <xdr:cNvSpPr>
            <a:spLocks noChangeArrowheads="1"/>
          </xdr:cNvSpPr>
        </xdr:nvSpPr>
        <xdr:spPr bwMode="auto">
          <a:xfrm>
            <a:off x="8035738" y="482414"/>
            <a:ext cx="2952750" cy="5334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3600" b="0" i="0" u="none" strike="noStrike" baseline="0">
                <a:solidFill>
                  <a:srgbClr val="1B2029"/>
                </a:solidFill>
                <a:latin typeface="Times New Roman"/>
                <a:cs typeface="Times New Roman"/>
              </a:rPr>
              <a:t>ПРАЙС-ЛИСТ</a:t>
            </a:r>
          </a:p>
        </xdr:txBody>
      </xdr:sp>
      <xdr:sp macro="" textlink="">
        <xdr:nvSpPr>
          <xdr:cNvPr id="1643" name="Rectangle 619">
            <a:extLst>
              <a:ext uri="{FF2B5EF4-FFF2-40B4-BE49-F238E27FC236}">
                <a16:creationId xmlns:a16="http://schemas.microsoft.com/office/drawing/2014/main" id="{00000000-0008-0000-0000-00006B060000}"/>
              </a:ext>
            </a:extLst>
          </xdr:cNvPr>
          <xdr:cNvSpPr>
            <a:spLocks noChangeArrowheads="1"/>
          </xdr:cNvSpPr>
        </xdr:nvSpPr>
        <xdr:spPr bwMode="auto">
          <a:xfrm>
            <a:off x="6807573" y="1158688"/>
            <a:ext cx="4057650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100" b="0" i="0" u="none" strike="noStrike" baseline="0">
                <a:solidFill>
                  <a:srgbClr val="191D25"/>
                </a:solidFill>
                <a:latin typeface="Times New Roman"/>
                <a:cs typeface="Times New Roman"/>
              </a:rPr>
              <a:t>        цены указаны в рублях с учетом НДС со склада в Красноярске</a:t>
            </a:r>
          </a:p>
        </xdr:txBody>
      </xdr:sp>
      <xdr:sp macro="" textlink="">
        <xdr:nvSpPr>
          <xdr:cNvPr id="1644" name="Rectangle 620">
            <a:extLst>
              <a:ext uri="{FF2B5EF4-FFF2-40B4-BE49-F238E27FC236}">
                <a16:creationId xmlns:a16="http://schemas.microsoft.com/office/drawing/2014/main" id="{00000000-0008-0000-0000-00006C060000}"/>
              </a:ext>
            </a:extLst>
          </xdr:cNvPr>
          <xdr:cNvSpPr>
            <a:spLocks noChangeArrowheads="1"/>
          </xdr:cNvSpPr>
        </xdr:nvSpPr>
        <xdr:spPr bwMode="auto">
          <a:xfrm>
            <a:off x="8372475" y="1323975"/>
            <a:ext cx="2486025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100" b="0" i="0" u="none" strike="noStrike" baseline="0">
                <a:solidFill>
                  <a:srgbClr val="191D25"/>
                </a:solidFill>
                <a:latin typeface="Times New Roman"/>
                <a:cs typeface="Times New Roman"/>
              </a:rPr>
              <a:t>действует накопительная система скидок</a:t>
            </a:r>
          </a:p>
        </xdr:txBody>
      </xdr:sp>
      <xdr:sp macro="" textlink="">
        <xdr:nvSpPr>
          <xdr:cNvPr id="1645" name="Freeform 621">
            <a:extLst>
              <a:ext uri="{FF2B5EF4-FFF2-40B4-BE49-F238E27FC236}">
                <a16:creationId xmlns:a16="http://schemas.microsoft.com/office/drawing/2014/main" id="{00000000-0008-0000-0000-00006D060000}"/>
              </a:ext>
            </a:extLst>
          </xdr:cNvPr>
          <xdr:cNvSpPr>
            <a:spLocks/>
          </xdr:cNvSpPr>
        </xdr:nvSpPr>
        <xdr:spPr bwMode="auto">
          <a:xfrm>
            <a:off x="790575" y="1047750"/>
            <a:ext cx="85725" cy="85725"/>
          </a:xfrm>
          <a:custGeom>
            <a:avLst/>
            <a:gdLst>
              <a:gd name="T0" fmla="*/ 146 w 168"/>
              <a:gd name="T1" fmla="*/ 28 h 143"/>
              <a:gd name="T2" fmla="*/ 124 w 168"/>
              <a:gd name="T3" fmla="*/ 129 h 143"/>
              <a:gd name="T4" fmla="*/ 106 w 168"/>
              <a:gd name="T5" fmla="*/ 141 h 143"/>
              <a:gd name="T6" fmla="*/ 116 w 168"/>
              <a:gd name="T7" fmla="*/ 132 h 143"/>
              <a:gd name="T8" fmla="*/ 143 w 168"/>
              <a:gd name="T9" fmla="*/ 35 h 143"/>
              <a:gd name="T10" fmla="*/ 65 w 168"/>
              <a:gd name="T11" fmla="*/ 48 h 143"/>
              <a:gd name="T12" fmla="*/ 37 w 168"/>
              <a:gd name="T13" fmla="*/ 143 h 143"/>
              <a:gd name="T14" fmla="*/ 22 w 168"/>
              <a:gd name="T15" fmla="*/ 131 h 143"/>
              <a:gd name="T16" fmla="*/ 44 w 168"/>
              <a:gd name="T17" fmla="*/ 30 h 143"/>
              <a:gd name="T18" fmla="*/ 146 w 168"/>
              <a:gd name="T19" fmla="*/ 28 h 1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68" h="143">
                <a:moveTo>
                  <a:pt x="146" y="28"/>
                </a:moveTo>
                <a:cubicBezTo>
                  <a:pt x="168" y="55"/>
                  <a:pt x="158" y="100"/>
                  <a:pt x="124" y="129"/>
                </a:cubicBezTo>
                <a:cubicBezTo>
                  <a:pt x="118" y="133"/>
                  <a:pt x="112" y="137"/>
                  <a:pt x="106" y="141"/>
                </a:cubicBezTo>
                <a:cubicBezTo>
                  <a:pt x="110" y="138"/>
                  <a:pt x="113" y="135"/>
                  <a:pt x="116" y="132"/>
                </a:cubicBezTo>
                <a:cubicBezTo>
                  <a:pt x="145" y="101"/>
                  <a:pt x="157" y="58"/>
                  <a:pt x="143" y="35"/>
                </a:cubicBezTo>
                <a:cubicBezTo>
                  <a:pt x="129" y="12"/>
                  <a:pt x="94" y="18"/>
                  <a:pt x="65" y="48"/>
                </a:cubicBezTo>
                <a:cubicBezTo>
                  <a:pt x="36" y="77"/>
                  <a:pt x="24" y="120"/>
                  <a:pt x="37" y="143"/>
                </a:cubicBezTo>
                <a:cubicBezTo>
                  <a:pt x="32" y="140"/>
                  <a:pt x="27" y="136"/>
                  <a:pt x="22" y="131"/>
                </a:cubicBezTo>
                <a:cubicBezTo>
                  <a:pt x="0" y="103"/>
                  <a:pt x="10" y="58"/>
                  <a:pt x="44" y="30"/>
                </a:cubicBezTo>
                <a:cubicBezTo>
                  <a:pt x="78" y="1"/>
                  <a:pt x="124" y="0"/>
                  <a:pt x="146" y="28"/>
                </a:cubicBezTo>
                <a:close/>
              </a:path>
            </a:pathLst>
          </a:custGeom>
          <a:solidFill>
            <a:srgbClr val="4D2A1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6" name="Freeform 622">
            <a:extLst>
              <a:ext uri="{FF2B5EF4-FFF2-40B4-BE49-F238E27FC236}">
                <a16:creationId xmlns:a16="http://schemas.microsoft.com/office/drawing/2014/main" id="{00000000-0008-0000-0000-00006E060000}"/>
              </a:ext>
            </a:extLst>
          </xdr:cNvPr>
          <xdr:cNvSpPr>
            <a:spLocks noEditPoints="1"/>
          </xdr:cNvSpPr>
        </xdr:nvSpPr>
        <xdr:spPr bwMode="auto">
          <a:xfrm>
            <a:off x="581025" y="904875"/>
            <a:ext cx="733425" cy="390525"/>
          </a:xfrm>
          <a:custGeom>
            <a:avLst/>
            <a:gdLst>
              <a:gd name="T0" fmla="*/ 125 w 1430"/>
              <a:gd name="T1" fmla="*/ 5 h 668"/>
              <a:gd name="T2" fmla="*/ 221 w 1430"/>
              <a:gd name="T3" fmla="*/ 143 h 668"/>
              <a:gd name="T4" fmla="*/ 407 w 1430"/>
              <a:gd name="T5" fmla="*/ 217 h 668"/>
              <a:gd name="T6" fmla="*/ 407 w 1430"/>
              <a:gd name="T7" fmla="*/ 217 h 668"/>
              <a:gd name="T8" fmla="*/ 599 w 1430"/>
              <a:gd name="T9" fmla="*/ 213 h 668"/>
              <a:gd name="T10" fmla="*/ 558 w 1430"/>
              <a:gd name="T11" fmla="*/ 404 h 668"/>
              <a:gd name="T12" fmla="*/ 539 w 1430"/>
              <a:gd name="T13" fmla="*/ 418 h 668"/>
              <a:gd name="T14" fmla="*/ 1430 w 1430"/>
              <a:gd name="T15" fmla="*/ 668 h 668"/>
              <a:gd name="T16" fmla="*/ 447 w 1430"/>
              <a:gd name="T17" fmla="*/ 445 h 668"/>
              <a:gd name="T18" fmla="*/ 417 w 1430"/>
              <a:gd name="T19" fmla="*/ 441 h 668"/>
              <a:gd name="T20" fmla="*/ 415 w 1430"/>
              <a:gd name="T21" fmla="*/ 440 h 668"/>
              <a:gd name="T22" fmla="*/ 408 w 1430"/>
              <a:gd name="T23" fmla="*/ 438 h 668"/>
              <a:gd name="T24" fmla="*/ 406 w 1430"/>
              <a:gd name="T25" fmla="*/ 437 h 668"/>
              <a:gd name="T26" fmla="*/ 406 w 1430"/>
              <a:gd name="T27" fmla="*/ 437 h 668"/>
              <a:gd name="T28" fmla="*/ 406 w 1430"/>
              <a:gd name="T29" fmla="*/ 437 h 668"/>
              <a:gd name="T30" fmla="*/ 366 w 1430"/>
              <a:gd name="T31" fmla="*/ 408 h 668"/>
              <a:gd name="T32" fmla="*/ 386 w 1430"/>
              <a:gd name="T33" fmla="*/ 238 h 668"/>
              <a:gd name="T34" fmla="*/ 219 w 1430"/>
              <a:gd name="T35" fmla="*/ 161 h 668"/>
              <a:gd name="T36" fmla="*/ 102 w 1430"/>
              <a:gd name="T37" fmla="*/ 279 h 668"/>
              <a:gd name="T38" fmla="*/ 7 w 1430"/>
              <a:gd name="T39" fmla="*/ 133 h 668"/>
              <a:gd name="T40" fmla="*/ 125 w 1430"/>
              <a:gd name="T41" fmla="*/ 5 h 668"/>
              <a:gd name="T42" fmla="*/ 210 w 1430"/>
              <a:gd name="T43" fmla="*/ 159 h 668"/>
              <a:gd name="T44" fmla="*/ 114 w 1430"/>
              <a:gd name="T45" fmla="*/ 142 h 668"/>
              <a:gd name="T46" fmla="*/ 118 w 1430"/>
              <a:gd name="T47" fmla="*/ 128 h 668"/>
              <a:gd name="T48" fmla="*/ 211 w 1430"/>
              <a:gd name="T49" fmla="*/ 141 h 668"/>
              <a:gd name="T50" fmla="*/ 142 w 1430"/>
              <a:gd name="T51" fmla="*/ 49 h 668"/>
              <a:gd name="T52" fmla="*/ 58 w 1430"/>
              <a:gd name="T53" fmla="*/ 140 h 668"/>
              <a:gd name="T54" fmla="*/ 125 w 1430"/>
              <a:gd name="T55" fmla="*/ 245 h 668"/>
              <a:gd name="T56" fmla="*/ 210 w 1430"/>
              <a:gd name="T57" fmla="*/ 159 h 668"/>
              <a:gd name="T58" fmla="*/ 579 w 1430"/>
              <a:gd name="T59" fmla="*/ 261 h 668"/>
              <a:gd name="T60" fmla="*/ 549 w 1430"/>
              <a:gd name="T61" fmla="*/ 397 h 668"/>
              <a:gd name="T62" fmla="*/ 412 w 1430"/>
              <a:gd name="T63" fmla="*/ 400 h 668"/>
              <a:gd name="T64" fmla="*/ 441 w 1430"/>
              <a:gd name="T65" fmla="*/ 263 h 668"/>
              <a:gd name="T66" fmla="*/ 579 w 1430"/>
              <a:gd name="T67" fmla="*/ 261 h 6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1430" h="668">
                <a:moveTo>
                  <a:pt x="125" y="5"/>
                </a:moveTo>
                <a:cubicBezTo>
                  <a:pt x="182" y="10"/>
                  <a:pt x="223" y="71"/>
                  <a:pt x="221" y="143"/>
                </a:cubicBezTo>
                <a:cubicBezTo>
                  <a:pt x="286" y="158"/>
                  <a:pt x="351" y="184"/>
                  <a:pt x="407" y="217"/>
                </a:cubicBezTo>
                <a:lnTo>
                  <a:pt x="407" y="217"/>
                </a:lnTo>
                <a:cubicBezTo>
                  <a:pt x="472" y="163"/>
                  <a:pt x="558" y="161"/>
                  <a:pt x="599" y="213"/>
                </a:cubicBezTo>
                <a:cubicBezTo>
                  <a:pt x="641" y="265"/>
                  <a:pt x="623" y="350"/>
                  <a:pt x="558" y="404"/>
                </a:cubicBezTo>
                <a:cubicBezTo>
                  <a:pt x="552" y="409"/>
                  <a:pt x="546" y="414"/>
                  <a:pt x="539" y="418"/>
                </a:cubicBezTo>
                <a:cubicBezTo>
                  <a:pt x="872" y="471"/>
                  <a:pt x="1141" y="544"/>
                  <a:pt x="1430" y="668"/>
                </a:cubicBezTo>
                <a:cubicBezTo>
                  <a:pt x="1088" y="545"/>
                  <a:pt x="756" y="492"/>
                  <a:pt x="447" y="445"/>
                </a:cubicBezTo>
                <a:cubicBezTo>
                  <a:pt x="437" y="445"/>
                  <a:pt x="427" y="444"/>
                  <a:pt x="417" y="441"/>
                </a:cubicBezTo>
                <a:lnTo>
                  <a:pt x="415" y="440"/>
                </a:lnTo>
                <a:lnTo>
                  <a:pt x="408" y="438"/>
                </a:lnTo>
                <a:cubicBezTo>
                  <a:pt x="407" y="437"/>
                  <a:pt x="407" y="437"/>
                  <a:pt x="406" y="437"/>
                </a:cubicBezTo>
                <a:lnTo>
                  <a:pt x="406" y="437"/>
                </a:lnTo>
                <a:lnTo>
                  <a:pt x="406" y="437"/>
                </a:lnTo>
                <a:cubicBezTo>
                  <a:pt x="390" y="431"/>
                  <a:pt x="377" y="421"/>
                  <a:pt x="366" y="408"/>
                </a:cubicBezTo>
                <a:cubicBezTo>
                  <a:pt x="329" y="362"/>
                  <a:pt x="339" y="291"/>
                  <a:pt x="386" y="238"/>
                </a:cubicBezTo>
                <a:cubicBezTo>
                  <a:pt x="335" y="205"/>
                  <a:pt x="278" y="178"/>
                  <a:pt x="219" y="161"/>
                </a:cubicBezTo>
                <a:cubicBezTo>
                  <a:pt x="209" y="232"/>
                  <a:pt x="158" y="284"/>
                  <a:pt x="102" y="279"/>
                </a:cubicBezTo>
                <a:cubicBezTo>
                  <a:pt x="43" y="274"/>
                  <a:pt x="0" y="208"/>
                  <a:pt x="7" y="133"/>
                </a:cubicBezTo>
                <a:cubicBezTo>
                  <a:pt x="13" y="57"/>
                  <a:pt x="67" y="0"/>
                  <a:pt x="125" y="5"/>
                </a:cubicBezTo>
                <a:close/>
                <a:moveTo>
                  <a:pt x="210" y="159"/>
                </a:moveTo>
                <a:cubicBezTo>
                  <a:pt x="178" y="150"/>
                  <a:pt x="146" y="144"/>
                  <a:pt x="114" y="142"/>
                </a:cubicBezTo>
                <a:lnTo>
                  <a:pt x="118" y="128"/>
                </a:lnTo>
                <a:cubicBezTo>
                  <a:pt x="148" y="130"/>
                  <a:pt x="179" y="134"/>
                  <a:pt x="211" y="141"/>
                </a:cubicBezTo>
                <a:cubicBezTo>
                  <a:pt x="210" y="92"/>
                  <a:pt x="181" y="52"/>
                  <a:pt x="142" y="49"/>
                </a:cubicBezTo>
                <a:cubicBezTo>
                  <a:pt x="100" y="45"/>
                  <a:pt x="62" y="86"/>
                  <a:pt x="58" y="140"/>
                </a:cubicBezTo>
                <a:cubicBezTo>
                  <a:pt x="53" y="194"/>
                  <a:pt x="83" y="241"/>
                  <a:pt x="125" y="245"/>
                </a:cubicBezTo>
                <a:cubicBezTo>
                  <a:pt x="166" y="248"/>
                  <a:pt x="203" y="210"/>
                  <a:pt x="210" y="159"/>
                </a:cubicBezTo>
                <a:close/>
                <a:moveTo>
                  <a:pt x="579" y="261"/>
                </a:moveTo>
                <a:cubicBezTo>
                  <a:pt x="608" y="298"/>
                  <a:pt x="595" y="359"/>
                  <a:pt x="549" y="397"/>
                </a:cubicBezTo>
                <a:cubicBezTo>
                  <a:pt x="503" y="436"/>
                  <a:pt x="442" y="437"/>
                  <a:pt x="412" y="400"/>
                </a:cubicBezTo>
                <a:cubicBezTo>
                  <a:pt x="382" y="363"/>
                  <a:pt x="395" y="302"/>
                  <a:pt x="441" y="263"/>
                </a:cubicBezTo>
                <a:cubicBezTo>
                  <a:pt x="487" y="225"/>
                  <a:pt x="549" y="224"/>
                  <a:pt x="579" y="261"/>
                </a:cubicBezTo>
                <a:close/>
              </a:path>
            </a:pathLst>
          </a:custGeom>
          <a:solidFill>
            <a:srgbClr val="5A341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7" name="Freeform 623">
            <a:extLst>
              <a:ext uri="{FF2B5EF4-FFF2-40B4-BE49-F238E27FC236}">
                <a16:creationId xmlns:a16="http://schemas.microsoft.com/office/drawing/2014/main" id="{00000000-0008-0000-0000-00006F060000}"/>
              </a:ext>
            </a:extLst>
          </xdr:cNvPr>
          <xdr:cNvSpPr>
            <a:spLocks/>
          </xdr:cNvSpPr>
        </xdr:nvSpPr>
        <xdr:spPr bwMode="auto">
          <a:xfrm>
            <a:off x="790575" y="628650"/>
            <a:ext cx="104775" cy="295275"/>
          </a:xfrm>
          <a:custGeom>
            <a:avLst/>
            <a:gdLst>
              <a:gd name="T0" fmla="*/ 23 w 205"/>
              <a:gd name="T1" fmla="*/ 0 h 497"/>
              <a:gd name="T2" fmla="*/ 0 w 205"/>
              <a:gd name="T3" fmla="*/ 497 h 497"/>
              <a:gd name="T4" fmla="*/ 23 w 205"/>
              <a:gd name="T5" fmla="*/ 0 h 4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5" h="497">
                <a:moveTo>
                  <a:pt x="23" y="0"/>
                </a:moveTo>
                <a:cubicBezTo>
                  <a:pt x="205" y="51"/>
                  <a:pt x="188" y="368"/>
                  <a:pt x="0" y="497"/>
                </a:cubicBezTo>
                <a:cubicBezTo>
                  <a:pt x="193" y="303"/>
                  <a:pt x="141" y="54"/>
                  <a:pt x="23" y="0"/>
                </a:cubicBezTo>
                <a:close/>
              </a:path>
            </a:pathLst>
          </a:custGeom>
          <a:solidFill>
            <a:srgbClr val="FBD07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8" name="Freeform 624">
            <a:extLst>
              <a:ext uri="{FF2B5EF4-FFF2-40B4-BE49-F238E27FC236}">
                <a16:creationId xmlns:a16="http://schemas.microsoft.com/office/drawing/2014/main" id="{00000000-0008-0000-0000-000070060000}"/>
              </a:ext>
            </a:extLst>
          </xdr:cNvPr>
          <xdr:cNvSpPr>
            <a:spLocks/>
          </xdr:cNvSpPr>
        </xdr:nvSpPr>
        <xdr:spPr bwMode="auto">
          <a:xfrm>
            <a:off x="609600" y="619125"/>
            <a:ext cx="200025" cy="276225"/>
          </a:xfrm>
          <a:custGeom>
            <a:avLst/>
            <a:gdLst>
              <a:gd name="T0" fmla="*/ 258 w 395"/>
              <a:gd name="T1" fmla="*/ 23 h 472"/>
              <a:gd name="T2" fmla="*/ 362 w 395"/>
              <a:gd name="T3" fmla="*/ 277 h 472"/>
              <a:gd name="T4" fmla="*/ 137 w 395"/>
              <a:gd name="T5" fmla="*/ 449 h 472"/>
              <a:gd name="T6" fmla="*/ 34 w 395"/>
              <a:gd name="T7" fmla="*/ 195 h 472"/>
              <a:gd name="T8" fmla="*/ 258 w 395"/>
              <a:gd name="T9" fmla="*/ 23 h 4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95" h="472">
                <a:moveTo>
                  <a:pt x="258" y="23"/>
                </a:moveTo>
                <a:cubicBezTo>
                  <a:pt x="349" y="45"/>
                  <a:pt x="395" y="159"/>
                  <a:pt x="362" y="277"/>
                </a:cubicBezTo>
                <a:cubicBezTo>
                  <a:pt x="329" y="395"/>
                  <a:pt x="228" y="472"/>
                  <a:pt x="137" y="449"/>
                </a:cubicBezTo>
                <a:cubicBezTo>
                  <a:pt x="47" y="426"/>
                  <a:pt x="0" y="312"/>
                  <a:pt x="34" y="195"/>
                </a:cubicBezTo>
                <a:cubicBezTo>
                  <a:pt x="67" y="77"/>
                  <a:pt x="167" y="0"/>
                  <a:pt x="258" y="23"/>
                </a:cubicBezTo>
                <a:close/>
              </a:path>
            </a:pathLst>
          </a:custGeom>
          <a:solidFill>
            <a:srgbClr val="F7D28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49" name="Freeform 625">
            <a:extLst>
              <a:ext uri="{FF2B5EF4-FFF2-40B4-BE49-F238E27FC236}">
                <a16:creationId xmlns:a16="http://schemas.microsoft.com/office/drawing/2014/main" id="{00000000-0008-0000-0000-000071060000}"/>
              </a:ext>
            </a:extLst>
          </xdr:cNvPr>
          <xdr:cNvSpPr>
            <a:spLocks/>
          </xdr:cNvSpPr>
        </xdr:nvSpPr>
        <xdr:spPr bwMode="auto">
          <a:xfrm>
            <a:off x="914400" y="704850"/>
            <a:ext cx="76200" cy="85725"/>
          </a:xfrm>
          <a:custGeom>
            <a:avLst/>
            <a:gdLst>
              <a:gd name="T0" fmla="*/ 83 w 143"/>
              <a:gd name="T1" fmla="*/ 101 h 149"/>
              <a:gd name="T2" fmla="*/ 102 w 143"/>
              <a:gd name="T3" fmla="*/ 98 h 149"/>
              <a:gd name="T4" fmla="*/ 83 w 143"/>
              <a:gd name="T5" fmla="*/ 0 h 149"/>
              <a:gd name="T6" fmla="*/ 113 w 143"/>
              <a:gd name="T7" fmla="*/ 111 h 149"/>
              <a:gd name="T8" fmla="*/ 0 w 143"/>
              <a:gd name="T9" fmla="*/ 19 h 149"/>
              <a:gd name="T10" fmla="*/ 83 w 143"/>
              <a:gd name="T11" fmla="*/ 101 h 1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3" h="149">
                <a:moveTo>
                  <a:pt x="83" y="101"/>
                </a:moveTo>
                <a:cubicBezTo>
                  <a:pt x="89" y="104"/>
                  <a:pt x="99" y="102"/>
                  <a:pt x="102" y="98"/>
                </a:cubicBezTo>
                <a:cubicBezTo>
                  <a:pt x="122" y="81"/>
                  <a:pt x="116" y="22"/>
                  <a:pt x="83" y="0"/>
                </a:cubicBezTo>
                <a:cubicBezTo>
                  <a:pt x="125" y="20"/>
                  <a:pt x="143" y="83"/>
                  <a:pt x="113" y="111"/>
                </a:cubicBezTo>
                <a:cubicBezTo>
                  <a:pt x="72" y="149"/>
                  <a:pt x="11" y="39"/>
                  <a:pt x="0" y="19"/>
                </a:cubicBezTo>
                <a:cubicBezTo>
                  <a:pt x="22" y="44"/>
                  <a:pt x="40" y="85"/>
                  <a:pt x="83" y="101"/>
                </a:cubicBezTo>
                <a:close/>
              </a:path>
            </a:pathLst>
          </a:custGeom>
          <a:solidFill>
            <a:srgbClr val="F8C8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0" name="Freeform 626">
            <a:extLst>
              <a:ext uri="{FF2B5EF4-FFF2-40B4-BE49-F238E27FC236}">
                <a16:creationId xmlns:a16="http://schemas.microsoft.com/office/drawing/2014/main" id="{00000000-0008-0000-0000-000072060000}"/>
              </a:ext>
            </a:extLst>
          </xdr:cNvPr>
          <xdr:cNvSpPr>
            <a:spLocks/>
          </xdr:cNvSpPr>
        </xdr:nvSpPr>
        <xdr:spPr bwMode="auto">
          <a:xfrm>
            <a:off x="1114425" y="1085850"/>
            <a:ext cx="314325" cy="171450"/>
          </a:xfrm>
          <a:custGeom>
            <a:avLst/>
            <a:gdLst>
              <a:gd name="T0" fmla="*/ 607 w 607"/>
              <a:gd name="T1" fmla="*/ 280 h 280"/>
              <a:gd name="T2" fmla="*/ 0 w 607"/>
              <a:gd name="T3" fmla="*/ 90 h 280"/>
              <a:gd name="T4" fmla="*/ 607 w 607"/>
              <a:gd name="T5" fmla="*/ 280 h 2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607" h="280">
                <a:moveTo>
                  <a:pt x="607" y="280"/>
                </a:moveTo>
                <a:cubicBezTo>
                  <a:pt x="404" y="189"/>
                  <a:pt x="118" y="96"/>
                  <a:pt x="0" y="90"/>
                </a:cubicBezTo>
                <a:cubicBezTo>
                  <a:pt x="43" y="0"/>
                  <a:pt x="540" y="244"/>
                  <a:pt x="607" y="280"/>
                </a:cubicBezTo>
                <a:close/>
              </a:path>
            </a:pathLst>
          </a:custGeom>
          <a:solidFill>
            <a:srgbClr val="683C1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1" name="Freeform 627">
            <a:extLst>
              <a:ext uri="{FF2B5EF4-FFF2-40B4-BE49-F238E27FC236}">
                <a16:creationId xmlns:a16="http://schemas.microsoft.com/office/drawing/2014/main" id="{00000000-0008-0000-0000-000073060000}"/>
              </a:ext>
            </a:extLst>
          </xdr:cNvPr>
          <xdr:cNvSpPr>
            <a:spLocks/>
          </xdr:cNvSpPr>
        </xdr:nvSpPr>
        <xdr:spPr bwMode="auto">
          <a:xfrm>
            <a:off x="600075" y="685800"/>
            <a:ext cx="123825" cy="114300"/>
          </a:xfrm>
          <a:custGeom>
            <a:avLst/>
            <a:gdLst>
              <a:gd name="T0" fmla="*/ 121 w 245"/>
              <a:gd name="T1" fmla="*/ 1 h 193"/>
              <a:gd name="T2" fmla="*/ 244 w 245"/>
              <a:gd name="T3" fmla="*/ 97 h 193"/>
              <a:gd name="T4" fmla="*/ 124 w 245"/>
              <a:gd name="T5" fmla="*/ 192 h 193"/>
              <a:gd name="T6" fmla="*/ 1 w 245"/>
              <a:gd name="T7" fmla="*/ 96 h 193"/>
              <a:gd name="T8" fmla="*/ 121 w 245"/>
              <a:gd name="T9" fmla="*/ 1 h 1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45" h="193">
                <a:moveTo>
                  <a:pt x="121" y="1"/>
                </a:moveTo>
                <a:cubicBezTo>
                  <a:pt x="188" y="1"/>
                  <a:pt x="243" y="45"/>
                  <a:pt x="244" y="97"/>
                </a:cubicBezTo>
                <a:cubicBezTo>
                  <a:pt x="245" y="150"/>
                  <a:pt x="191" y="193"/>
                  <a:pt x="124" y="192"/>
                </a:cubicBezTo>
                <a:cubicBezTo>
                  <a:pt x="57" y="192"/>
                  <a:pt x="2" y="148"/>
                  <a:pt x="1" y="96"/>
                </a:cubicBezTo>
                <a:cubicBezTo>
                  <a:pt x="0" y="43"/>
                  <a:pt x="54" y="0"/>
                  <a:pt x="121" y="1"/>
                </a:cubicBezTo>
                <a:close/>
              </a:path>
            </a:pathLst>
          </a:custGeom>
          <a:solidFill>
            <a:srgbClr val="FEFEF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2" name="Freeform 628">
            <a:extLst>
              <a:ext uri="{FF2B5EF4-FFF2-40B4-BE49-F238E27FC236}">
                <a16:creationId xmlns:a16="http://schemas.microsoft.com/office/drawing/2014/main" id="{00000000-0008-0000-0000-000074060000}"/>
              </a:ext>
            </a:extLst>
          </xdr:cNvPr>
          <xdr:cNvSpPr>
            <a:spLocks/>
          </xdr:cNvSpPr>
        </xdr:nvSpPr>
        <xdr:spPr bwMode="auto">
          <a:xfrm>
            <a:off x="600075" y="695325"/>
            <a:ext cx="133350" cy="123825"/>
          </a:xfrm>
          <a:custGeom>
            <a:avLst/>
            <a:gdLst>
              <a:gd name="T0" fmla="*/ 141 w 245"/>
              <a:gd name="T1" fmla="*/ 13 h 213"/>
              <a:gd name="T2" fmla="*/ 235 w 245"/>
              <a:gd name="T3" fmla="*/ 130 h 213"/>
              <a:gd name="T4" fmla="*/ 103 w 245"/>
              <a:gd name="T5" fmla="*/ 200 h 213"/>
              <a:gd name="T6" fmla="*/ 10 w 245"/>
              <a:gd name="T7" fmla="*/ 83 h 213"/>
              <a:gd name="T8" fmla="*/ 141 w 245"/>
              <a:gd name="T9" fmla="*/ 13 h 2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45" h="213">
                <a:moveTo>
                  <a:pt x="141" y="13"/>
                </a:moveTo>
                <a:cubicBezTo>
                  <a:pt x="203" y="26"/>
                  <a:pt x="245" y="78"/>
                  <a:pt x="235" y="130"/>
                </a:cubicBezTo>
                <a:cubicBezTo>
                  <a:pt x="224" y="182"/>
                  <a:pt x="166" y="213"/>
                  <a:pt x="103" y="200"/>
                </a:cubicBezTo>
                <a:cubicBezTo>
                  <a:pt x="41" y="187"/>
                  <a:pt x="0" y="135"/>
                  <a:pt x="10" y="83"/>
                </a:cubicBezTo>
                <a:cubicBezTo>
                  <a:pt x="20" y="31"/>
                  <a:pt x="79" y="0"/>
                  <a:pt x="141" y="13"/>
                </a:cubicBezTo>
                <a:close/>
              </a:path>
            </a:pathLst>
          </a:custGeom>
          <a:solidFill>
            <a:srgbClr val="482D1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3" name="Freeform 629">
            <a:extLst>
              <a:ext uri="{FF2B5EF4-FFF2-40B4-BE49-F238E27FC236}">
                <a16:creationId xmlns:a16="http://schemas.microsoft.com/office/drawing/2014/main" id="{00000000-0008-0000-0000-000075060000}"/>
              </a:ext>
            </a:extLst>
          </xdr:cNvPr>
          <xdr:cNvSpPr>
            <a:spLocks noEditPoints="1"/>
          </xdr:cNvSpPr>
        </xdr:nvSpPr>
        <xdr:spPr bwMode="auto">
          <a:xfrm>
            <a:off x="466725" y="352425"/>
            <a:ext cx="838200" cy="1009650"/>
          </a:xfrm>
          <a:custGeom>
            <a:avLst/>
            <a:gdLst>
              <a:gd name="T0" fmla="*/ 1405 w 1619"/>
              <a:gd name="T1" fmla="*/ 303 h 1730"/>
              <a:gd name="T2" fmla="*/ 982 w 1619"/>
              <a:gd name="T3" fmla="*/ 428 h 1730"/>
              <a:gd name="T4" fmla="*/ 769 w 1619"/>
              <a:gd name="T5" fmla="*/ 333 h 1730"/>
              <a:gd name="T6" fmla="*/ 520 w 1619"/>
              <a:gd name="T7" fmla="*/ 198 h 1730"/>
              <a:gd name="T8" fmla="*/ 471 w 1619"/>
              <a:gd name="T9" fmla="*/ 147 h 1730"/>
              <a:gd name="T10" fmla="*/ 894 w 1619"/>
              <a:gd name="T11" fmla="*/ 282 h 1730"/>
              <a:gd name="T12" fmla="*/ 516 w 1619"/>
              <a:gd name="T13" fmla="*/ 88 h 1730"/>
              <a:gd name="T14" fmla="*/ 1575 w 1619"/>
              <a:gd name="T15" fmla="*/ 606 h 1730"/>
              <a:gd name="T16" fmla="*/ 1511 w 1619"/>
              <a:gd name="T17" fmla="*/ 896 h 1730"/>
              <a:gd name="T18" fmla="*/ 1336 w 1619"/>
              <a:gd name="T19" fmla="*/ 804 h 1730"/>
              <a:gd name="T20" fmla="*/ 1256 w 1619"/>
              <a:gd name="T21" fmla="*/ 814 h 1730"/>
              <a:gd name="T22" fmla="*/ 1431 w 1619"/>
              <a:gd name="T23" fmla="*/ 608 h 1730"/>
              <a:gd name="T24" fmla="*/ 1602 w 1619"/>
              <a:gd name="T25" fmla="*/ 981 h 1730"/>
              <a:gd name="T26" fmla="*/ 1209 w 1619"/>
              <a:gd name="T27" fmla="*/ 1057 h 1730"/>
              <a:gd name="T28" fmla="*/ 1393 w 1619"/>
              <a:gd name="T29" fmla="*/ 1032 h 1730"/>
              <a:gd name="T30" fmla="*/ 1602 w 1619"/>
              <a:gd name="T31" fmla="*/ 981 h 1730"/>
              <a:gd name="T32" fmla="*/ 1451 w 1619"/>
              <a:gd name="T33" fmla="*/ 1341 h 1730"/>
              <a:gd name="T34" fmla="*/ 1424 w 1619"/>
              <a:gd name="T35" fmla="*/ 1376 h 1730"/>
              <a:gd name="T36" fmla="*/ 1006 w 1619"/>
              <a:gd name="T37" fmla="*/ 1371 h 1730"/>
              <a:gd name="T38" fmla="*/ 1325 w 1619"/>
              <a:gd name="T39" fmla="*/ 1477 h 1730"/>
              <a:gd name="T40" fmla="*/ 838 w 1619"/>
              <a:gd name="T41" fmla="*/ 1307 h 1730"/>
              <a:gd name="T42" fmla="*/ 1149 w 1619"/>
              <a:gd name="T43" fmla="*/ 1267 h 1730"/>
              <a:gd name="T44" fmla="*/ 1462 w 1619"/>
              <a:gd name="T45" fmla="*/ 1325 h 1730"/>
              <a:gd name="T46" fmla="*/ 1159 w 1619"/>
              <a:gd name="T47" fmla="*/ 564 h 1730"/>
              <a:gd name="T48" fmla="*/ 1236 w 1619"/>
              <a:gd name="T49" fmla="*/ 709 h 1730"/>
              <a:gd name="T50" fmla="*/ 647 w 1619"/>
              <a:gd name="T51" fmla="*/ 423 h 1730"/>
              <a:gd name="T52" fmla="*/ 655 w 1619"/>
              <a:gd name="T53" fmla="*/ 419 h 1730"/>
              <a:gd name="T54" fmla="*/ 371 w 1619"/>
              <a:gd name="T55" fmla="*/ 965 h 1730"/>
              <a:gd name="T56" fmla="*/ 326 w 1619"/>
              <a:gd name="T57" fmla="*/ 1216 h 1730"/>
              <a:gd name="T58" fmla="*/ 574 w 1619"/>
              <a:gd name="T59" fmla="*/ 1242 h 1730"/>
              <a:gd name="T60" fmla="*/ 618 w 1619"/>
              <a:gd name="T61" fmla="*/ 1346 h 1730"/>
              <a:gd name="T62" fmla="*/ 1302 w 1619"/>
              <a:gd name="T63" fmla="*/ 1495 h 1730"/>
              <a:gd name="T64" fmla="*/ 3 w 1619"/>
              <a:gd name="T65" fmla="*/ 840 h 1730"/>
              <a:gd name="T66" fmla="*/ 137 w 1619"/>
              <a:gd name="T67" fmla="*/ 1061 h 1730"/>
              <a:gd name="T68" fmla="*/ 154 w 1619"/>
              <a:gd name="T69" fmla="*/ 860 h 1730"/>
              <a:gd name="T70" fmla="*/ 164 w 1619"/>
              <a:gd name="T71" fmla="*/ 862 h 1730"/>
              <a:gd name="T72" fmla="*/ 344 w 1619"/>
              <a:gd name="T73" fmla="*/ 928 h 1730"/>
              <a:gd name="T74" fmla="*/ 3 w 1619"/>
              <a:gd name="T75" fmla="*/ 831 h 1730"/>
              <a:gd name="T76" fmla="*/ 74 w 1619"/>
              <a:gd name="T77" fmla="*/ 543 h 1730"/>
              <a:gd name="T78" fmla="*/ 3 w 1619"/>
              <a:gd name="T79" fmla="*/ 831 h 1730"/>
              <a:gd name="T80" fmla="*/ 99 w 1619"/>
              <a:gd name="T81" fmla="*/ 584 h 1730"/>
              <a:gd name="T82" fmla="*/ 278 w 1619"/>
              <a:gd name="T83" fmla="*/ 321 h 1730"/>
              <a:gd name="T84" fmla="*/ 148 w 1619"/>
              <a:gd name="T85" fmla="*/ 841 h 1730"/>
              <a:gd name="T86" fmla="*/ 765 w 1619"/>
              <a:gd name="T87" fmla="*/ 332 h 1730"/>
              <a:gd name="T88" fmla="*/ 557 w 1619"/>
              <a:gd name="T89" fmla="*/ 229 h 1730"/>
              <a:gd name="T90" fmla="*/ 309 w 1619"/>
              <a:gd name="T91" fmla="*/ 340 h 1730"/>
              <a:gd name="T92" fmla="*/ 159 w 1619"/>
              <a:gd name="T93" fmla="*/ 841 h 1730"/>
              <a:gd name="T94" fmla="*/ 362 w 1619"/>
              <a:gd name="T95" fmla="*/ 530 h 1730"/>
              <a:gd name="T96" fmla="*/ 309 w 1619"/>
              <a:gd name="T97" fmla="*/ 340 h 17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1619" h="1730">
                <a:moveTo>
                  <a:pt x="1225" y="151"/>
                </a:moveTo>
                <a:cubicBezTo>
                  <a:pt x="1294" y="194"/>
                  <a:pt x="1354" y="245"/>
                  <a:pt x="1405" y="303"/>
                </a:cubicBezTo>
                <a:cubicBezTo>
                  <a:pt x="1294" y="377"/>
                  <a:pt x="1163" y="428"/>
                  <a:pt x="1019" y="446"/>
                </a:cubicBezTo>
                <a:cubicBezTo>
                  <a:pt x="1007" y="439"/>
                  <a:pt x="994" y="433"/>
                  <a:pt x="982" y="428"/>
                </a:cubicBezTo>
                <a:cubicBezTo>
                  <a:pt x="1015" y="423"/>
                  <a:pt x="1046" y="416"/>
                  <a:pt x="1073" y="407"/>
                </a:cubicBezTo>
                <a:cubicBezTo>
                  <a:pt x="947" y="383"/>
                  <a:pt x="848" y="359"/>
                  <a:pt x="769" y="333"/>
                </a:cubicBezTo>
                <a:cubicBezTo>
                  <a:pt x="729" y="269"/>
                  <a:pt x="671" y="223"/>
                  <a:pt x="600" y="206"/>
                </a:cubicBezTo>
                <a:cubicBezTo>
                  <a:pt x="574" y="199"/>
                  <a:pt x="547" y="197"/>
                  <a:pt x="520" y="198"/>
                </a:cubicBezTo>
                <a:cubicBezTo>
                  <a:pt x="504" y="184"/>
                  <a:pt x="489" y="168"/>
                  <a:pt x="475" y="152"/>
                </a:cubicBezTo>
                <a:cubicBezTo>
                  <a:pt x="474" y="150"/>
                  <a:pt x="472" y="149"/>
                  <a:pt x="471" y="147"/>
                </a:cubicBezTo>
                <a:cubicBezTo>
                  <a:pt x="541" y="122"/>
                  <a:pt x="615" y="116"/>
                  <a:pt x="686" y="134"/>
                </a:cubicBezTo>
                <a:cubicBezTo>
                  <a:pt x="772" y="156"/>
                  <a:pt x="843" y="209"/>
                  <a:pt x="894" y="282"/>
                </a:cubicBezTo>
                <a:cubicBezTo>
                  <a:pt x="842" y="188"/>
                  <a:pt x="762" y="119"/>
                  <a:pt x="661" y="94"/>
                </a:cubicBezTo>
                <a:cubicBezTo>
                  <a:pt x="613" y="82"/>
                  <a:pt x="565" y="80"/>
                  <a:pt x="516" y="88"/>
                </a:cubicBezTo>
                <a:cubicBezTo>
                  <a:pt x="741" y="0"/>
                  <a:pt x="1003" y="14"/>
                  <a:pt x="1225" y="151"/>
                </a:cubicBezTo>
                <a:close/>
                <a:moveTo>
                  <a:pt x="1575" y="606"/>
                </a:moveTo>
                <a:cubicBezTo>
                  <a:pt x="1608" y="714"/>
                  <a:pt x="1619" y="829"/>
                  <a:pt x="1607" y="943"/>
                </a:cubicBezTo>
                <a:cubicBezTo>
                  <a:pt x="1573" y="925"/>
                  <a:pt x="1538" y="908"/>
                  <a:pt x="1511" y="896"/>
                </a:cubicBezTo>
                <a:cubicBezTo>
                  <a:pt x="1539" y="794"/>
                  <a:pt x="1539" y="722"/>
                  <a:pt x="1497" y="705"/>
                </a:cubicBezTo>
                <a:cubicBezTo>
                  <a:pt x="1452" y="688"/>
                  <a:pt x="1412" y="735"/>
                  <a:pt x="1336" y="804"/>
                </a:cubicBezTo>
                <a:lnTo>
                  <a:pt x="1288" y="780"/>
                </a:lnTo>
                <a:lnTo>
                  <a:pt x="1256" y="814"/>
                </a:lnTo>
                <a:cubicBezTo>
                  <a:pt x="1256" y="811"/>
                  <a:pt x="1256" y="808"/>
                  <a:pt x="1256" y="806"/>
                </a:cubicBezTo>
                <a:lnTo>
                  <a:pt x="1431" y="608"/>
                </a:lnTo>
                <a:cubicBezTo>
                  <a:pt x="1482" y="609"/>
                  <a:pt x="1530" y="608"/>
                  <a:pt x="1575" y="606"/>
                </a:cubicBezTo>
                <a:close/>
                <a:moveTo>
                  <a:pt x="1602" y="981"/>
                </a:moveTo>
                <a:cubicBezTo>
                  <a:pt x="1589" y="1058"/>
                  <a:pt x="1566" y="1134"/>
                  <a:pt x="1531" y="1207"/>
                </a:cubicBezTo>
                <a:cubicBezTo>
                  <a:pt x="1423" y="1151"/>
                  <a:pt x="1318" y="1102"/>
                  <a:pt x="1209" y="1057"/>
                </a:cubicBezTo>
                <a:cubicBezTo>
                  <a:pt x="1215" y="1045"/>
                  <a:pt x="1221" y="1033"/>
                  <a:pt x="1226" y="1020"/>
                </a:cubicBezTo>
                <a:cubicBezTo>
                  <a:pt x="1299" y="1027"/>
                  <a:pt x="1368" y="1035"/>
                  <a:pt x="1393" y="1032"/>
                </a:cubicBezTo>
                <a:cubicBezTo>
                  <a:pt x="1436" y="1027"/>
                  <a:pt x="1472" y="974"/>
                  <a:pt x="1482" y="949"/>
                </a:cubicBezTo>
                <a:cubicBezTo>
                  <a:pt x="1516" y="955"/>
                  <a:pt x="1560" y="968"/>
                  <a:pt x="1602" y="981"/>
                </a:cubicBezTo>
                <a:close/>
                <a:moveTo>
                  <a:pt x="1462" y="1325"/>
                </a:moveTo>
                <a:cubicBezTo>
                  <a:pt x="1459" y="1330"/>
                  <a:pt x="1455" y="1336"/>
                  <a:pt x="1451" y="1341"/>
                </a:cubicBezTo>
                <a:cubicBezTo>
                  <a:pt x="1365" y="1314"/>
                  <a:pt x="1296" y="1306"/>
                  <a:pt x="1275" y="1342"/>
                </a:cubicBezTo>
                <a:cubicBezTo>
                  <a:pt x="1325" y="1351"/>
                  <a:pt x="1374" y="1363"/>
                  <a:pt x="1424" y="1376"/>
                </a:cubicBezTo>
                <a:cubicBezTo>
                  <a:pt x="1414" y="1387"/>
                  <a:pt x="1404" y="1399"/>
                  <a:pt x="1394" y="1410"/>
                </a:cubicBezTo>
                <a:cubicBezTo>
                  <a:pt x="1201" y="1334"/>
                  <a:pt x="1029" y="1290"/>
                  <a:pt x="1006" y="1371"/>
                </a:cubicBezTo>
                <a:cubicBezTo>
                  <a:pt x="1114" y="1374"/>
                  <a:pt x="1223" y="1393"/>
                  <a:pt x="1362" y="1443"/>
                </a:cubicBezTo>
                <a:cubicBezTo>
                  <a:pt x="1350" y="1454"/>
                  <a:pt x="1338" y="1466"/>
                  <a:pt x="1325" y="1477"/>
                </a:cubicBezTo>
                <a:cubicBezTo>
                  <a:pt x="1162" y="1421"/>
                  <a:pt x="994" y="1379"/>
                  <a:pt x="805" y="1341"/>
                </a:cubicBezTo>
                <a:cubicBezTo>
                  <a:pt x="818" y="1331"/>
                  <a:pt x="829" y="1319"/>
                  <a:pt x="838" y="1307"/>
                </a:cubicBezTo>
                <a:cubicBezTo>
                  <a:pt x="928" y="1301"/>
                  <a:pt x="1015" y="1267"/>
                  <a:pt x="1087" y="1210"/>
                </a:cubicBezTo>
                <a:cubicBezTo>
                  <a:pt x="1101" y="1227"/>
                  <a:pt x="1119" y="1246"/>
                  <a:pt x="1149" y="1267"/>
                </a:cubicBezTo>
                <a:cubicBezTo>
                  <a:pt x="1172" y="1283"/>
                  <a:pt x="1199" y="1289"/>
                  <a:pt x="1237" y="1288"/>
                </a:cubicBezTo>
                <a:cubicBezTo>
                  <a:pt x="1299" y="1300"/>
                  <a:pt x="1373" y="1314"/>
                  <a:pt x="1462" y="1325"/>
                </a:cubicBezTo>
                <a:close/>
                <a:moveTo>
                  <a:pt x="1236" y="709"/>
                </a:moveTo>
                <a:cubicBezTo>
                  <a:pt x="1219" y="657"/>
                  <a:pt x="1194" y="608"/>
                  <a:pt x="1159" y="564"/>
                </a:cubicBezTo>
                <a:lnTo>
                  <a:pt x="1328" y="585"/>
                </a:lnTo>
                <a:lnTo>
                  <a:pt x="1236" y="709"/>
                </a:lnTo>
                <a:close/>
                <a:moveTo>
                  <a:pt x="655" y="419"/>
                </a:moveTo>
                <a:cubicBezTo>
                  <a:pt x="652" y="420"/>
                  <a:pt x="650" y="422"/>
                  <a:pt x="647" y="423"/>
                </a:cubicBezTo>
                <a:cubicBezTo>
                  <a:pt x="628" y="418"/>
                  <a:pt x="610" y="413"/>
                  <a:pt x="591" y="408"/>
                </a:cubicBezTo>
                <a:cubicBezTo>
                  <a:pt x="612" y="412"/>
                  <a:pt x="634" y="416"/>
                  <a:pt x="655" y="419"/>
                </a:cubicBezTo>
                <a:close/>
                <a:moveTo>
                  <a:pt x="367" y="944"/>
                </a:moveTo>
                <a:cubicBezTo>
                  <a:pt x="368" y="951"/>
                  <a:pt x="370" y="958"/>
                  <a:pt x="371" y="965"/>
                </a:cubicBezTo>
                <a:cubicBezTo>
                  <a:pt x="331" y="971"/>
                  <a:pt x="292" y="1008"/>
                  <a:pt x="275" y="1060"/>
                </a:cubicBezTo>
                <a:cubicBezTo>
                  <a:pt x="252" y="1129"/>
                  <a:pt x="275" y="1199"/>
                  <a:pt x="326" y="1216"/>
                </a:cubicBezTo>
                <a:cubicBezTo>
                  <a:pt x="373" y="1233"/>
                  <a:pt x="429" y="1196"/>
                  <a:pt x="454" y="1135"/>
                </a:cubicBezTo>
                <a:cubicBezTo>
                  <a:pt x="487" y="1176"/>
                  <a:pt x="527" y="1213"/>
                  <a:pt x="574" y="1242"/>
                </a:cubicBezTo>
                <a:cubicBezTo>
                  <a:pt x="583" y="1248"/>
                  <a:pt x="593" y="1253"/>
                  <a:pt x="603" y="1258"/>
                </a:cubicBezTo>
                <a:cubicBezTo>
                  <a:pt x="595" y="1291"/>
                  <a:pt x="599" y="1322"/>
                  <a:pt x="618" y="1346"/>
                </a:cubicBezTo>
                <a:cubicBezTo>
                  <a:pt x="646" y="1383"/>
                  <a:pt x="699" y="1392"/>
                  <a:pt x="751" y="1372"/>
                </a:cubicBezTo>
                <a:cubicBezTo>
                  <a:pt x="928" y="1406"/>
                  <a:pt x="1113" y="1443"/>
                  <a:pt x="1302" y="1495"/>
                </a:cubicBezTo>
                <a:cubicBezTo>
                  <a:pt x="1047" y="1698"/>
                  <a:pt x="684" y="1730"/>
                  <a:pt x="390" y="1549"/>
                </a:cubicBezTo>
                <a:cubicBezTo>
                  <a:pt x="138" y="1394"/>
                  <a:pt x="0" y="1119"/>
                  <a:pt x="3" y="840"/>
                </a:cubicBezTo>
                <a:cubicBezTo>
                  <a:pt x="19" y="841"/>
                  <a:pt x="36" y="843"/>
                  <a:pt x="53" y="845"/>
                </a:cubicBezTo>
                <a:cubicBezTo>
                  <a:pt x="66" y="927"/>
                  <a:pt x="95" y="1001"/>
                  <a:pt x="137" y="1061"/>
                </a:cubicBezTo>
                <a:cubicBezTo>
                  <a:pt x="103" y="999"/>
                  <a:pt x="81" y="926"/>
                  <a:pt x="74" y="847"/>
                </a:cubicBezTo>
                <a:cubicBezTo>
                  <a:pt x="100" y="851"/>
                  <a:pt x="127" y="855"/>
                  <a:pt x="154" y="860"/>
                </a:cubicBezTo>
                <a:cubicBezTo>
                  <a:pt x="165" y="892"/>
                  <a:pt x="180" y="921"/>
                  <a:pt x="199" y="947"/>
                </a:cubicBezTo>
                <a:cubicBezTo>
                  <a:pt x="184" y="921"/>
                  <a:pt x="173" y="892"/>
                  <a:pt x="164" y="862"/>
                </a:cubicBezTo>
                <a:cubicBezTo>
                  <a:pt x="222" y="873"/>
                  <a:pt x="277" y="888"/>
                  <a:pt x="318" y="907"/>
                </a:cubicBezTo>
                <a:cubicBezTo>
                  <a:pt x="328" y="909"/>
                  <a:pt x="324" y="909"/>
                  <a:pt x="344" y="928"/>
                </a:cubicBezTo>
                <a:cubicBezTo>
                  <a:pt x="352" y="933"/>
                  <a:pt x="359" y="939"/>
                  <a:pt x="367" y="944"/>
                </a:cubicBezTo>
                <a:close/>
                <a:moveTo>
                  <a:pt x="3" y="831"/>
                </a:moveTo>
                <a:cubicBezTo>
                  <a:pt x="6" y="699"/>
                  <a:pt x="40" y="567"/>
                  <a:pt x="109" y="446"/>
                </a:cubicBezTo>
                <a:cubicBezTo>
                  <a:pt x="95" y="477"/>
                  <a:pt x="83" y="509"/>
                  <a:pt x="74" y="543"/>
                </a:cubicBezTo>
                <a:cubicBezTo>
                  <a:pt x="45" y="644"/>
                  <a:pt x="39" y="743"/>
                  <a:pt x="52" y="834"/>
                </a:cubicBezTo>
                <a:cubicBezTo>
                  <a:pt x="35" y="833"/>
                  <a:pt x="19" y="832"/>
                  <a:pt x="3" y="831"/>
                </a:cubicBezTo>
                <a:close/>
                <a:moveTo>
                  <a:pt x="73" y="835"/>
                </a:moveTo>
                <a:cubicBezTo>
                  <a:pt x="66" y="756"/>
                  <a:pt x="74" y="670"/>
                  <a:pt x="99" y="584"/>
                </a:cubicBezTo>
                <a:cubicBezTo>
                  <a:pt x="130" y="475"/>
                  <a:pt x="183" y="379"/>
                  <a:pt x="249" y="303"/>
                </a:cubicBezTo>
                <a:cubicBezTo>
                  <a:pt x="259" y="309"/>
                  <a:pt x="268" y="315"/>
                  <a:pt x="278" y="321"/>
                </a:cubicBezTo>
                <a:cubicBezTo>
                  <a:pt x="221" y="381"/>
                  <a:pt x="175" y="460"/>
                  <a:pt x="150" y="550"/>
                </a:cubicBezTo>
                <a:cubicBezTo>
                  <a:pt x="120" y="653"/>
                  <a:pt x="122" y="755"/>
                  <a:pt x="148" y="841"/>
                </a:cubicBezTo>
                <a:cubicBezTo>
                  <a:pt x="122" y="839"/>
                  <a:pt x="97" y="837"/>
                  <a:pt x="73" y="835"/>
                </a:cubicBezTo>
                <a:close/>
                <a:moveTo>
                  <a:pt x="765" y="332"/>
                </a:moveTo>
                <a:cubicBezTo>
                  <a:pt x="727" y="285"/>
                  <a:pt x="678" y="251"/>
                  <a:pt x="619" y="237"/>
                </a:cubicBezTo>
                <a:cubicBezTo>
                  <a:pt x="599" y="232"/>
                  <a:pt x="578" y="229"/>
                  <a:pt x="557" y="229"/>
                </a:cubicBezTo>
                <a:cubicBezTo>
                  <a:pt x="610" y="269"/>
                  <a:pt x="675" y="302"/>
                  <a:pt x="765" y="332"/>
                </a:cubicBezTo>
                <a:close/>
                <a:moveTo>
                  <a:pt x="309" y="340"/>
                </a:moveTo>
                <a:cubicBezTo>
                  <a:pt x="247" y="401"/>
                  <a:pt x="197" y="484"/>
                  <a:pt x="169" y="582"/>
                </a:cubicBezTo>
                <a:cubicBezTo>
                  <a:pt x="143" y="673"/>
                  <a:pt x="141" y="763"/>
                  <a:pt x="159" y="841"/>
                </a:cubicBezTo>
                <a:cubicBezTo>
                  <a:pt x="219" y="846"/>
                  <a:pt x="277" y="851"/>
                  <a:pt x="322" y="857"/>
                </a:cubicBezTo>
                <a:cubicBezTo>
                  <a:pt x="267" y="750"/>
                  <a:pt x="282" y="615"/>
                  <a:pt x="362" y="530"/>
                </a:cubicBezTo>
                <a:lnTo>
                  <a:pt x="317" y="344"/>
                </a:lnTo>
                <a:lnTo>
                  <a:pt x="309" y="340"/>
                </a:lnTo>
                <a:close/>
              </a:path>
            </a:pathLst>
          </a:custGeom>
          <a:solidFill>
            <a:srgbClr val="B783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54" name="Rectangle 630">
            <a:extLst>
              <a:ext uri="{FF2B5EF4-FFF2-40B4-BE49-F238E27FC236}">
                <a16:creationId xmlns:a16="http://schemas.microsoft.com/office/drawing/2014/main" id="{00000000-0008-0000-0000-000076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419100"/>
            <a:ext cx="214312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Россия, 660061, г. Красноярск</a:t>
            </a:r>
          </a:p>
        </xdr:txBody>
      </xdr:sp>
      <xdr:sp macro="" textlink="">
        <xdr:nvSpPr>
          <xdr:cNvPr id="1655" name="Rectangle 631">
            <a:extLst>
              <a:ext uri="{FF2B5EF4-FFF2-40B4-BE49-F238E27FC236}">
                <a16:creationId xmlns:a16="http://schemas.microsoft.com/office/drawing/2014/main" id="{00000000-0008-0000-0000-000077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609600"/>
            <a:ext cx="18478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ул. Калинина, 169 оф. 105</a:t>
            </a:r>
          </a:p>
        </xdr:txBody>
      </xdr:sp>
      <xdr:sp macro="" textlink="">
        <xdr:nvSpPr>
          <xdr:cNvPr id="1656" name="Rectangle 632">
            <a:extLst>
              <a:ext uri="{FF2B5EF4-FFF2-40B4-BE49-F238E27FC236}">
                <a16:creationId xmlns:a16="http://schemas.microsoft.com/office/drawing/2014/main" id="{00000000-0008-0000-0000-000078060000}"/>
              </a:ext>
            </a:extLst>
          </xdr:cNvPr>
          <xdr:cNvSpPr>
            <a:spLocks noChangeArrowheads="1"/>
          </xdr:cNvSpPr>
        </xdr:nvSpPr>
        <xdr:spPr bwMode="auto">
          <a:xfrm>
            <a:off x="1674719" y="792256"/>
            <a:ext cx="2476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57" name="Rectangle 633">
            <a:extLst>
              <a:ext uri="{FF2B5EF4-FFF2-40B4-BE49-F238E27FC236}">
                <a16:creationId xmlns:a16="http://schemas.microsoft.com/office/drawing/2014/main" id="{00000000-0008-0000-0000-000079060000}"/>
              </a:ext>
            </a:extLst>
          </xdr:cNvPr>
          <xdr:cNvSpPr>
            <a:spLocks noChangeArrowheads="1"/>
          </xdr:cNvSpPr>
        </xdr:nvSpPr>
        <xdr:spPr bwMode="auto">
          <a:xfrm>
            <a:off x="1595718" y="803462"/>
            <a:ext cx="151447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 </a:t>
            </a:r>
            <a:r>
              <a:rPr lang="en-US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(391) </a:t>
            </a: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268-32-33, 268-32-23</a:t>
            </a:r>
          </a:p>
        </xdr:txBody>
      </xdr:sp>
      <xdr:sp macro="" textlink="">
        <xdr:nvSpPr>
          <xdr:cNvPr id="1658" name="Rectangle 634">
            <a:extLst>
              <a:ext uri="{FF2B5EF4-FFF2-40B4-BE49-F238E27FC236}">
                <a16:creationId xmlns:a16="http://schemas.microsoft.com/office/drawing/2014/main" id="{00000000-0008-0000-0000-00007A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781050"/>
            <a:ext cx="57150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59" name="Rectangle 635">
            <a:extLst>
              <a:ext uri="{FF2B5EF4-FFF2-40B4-BE49-F238E27FC236}">
                <a16:creationId xmlns:a16="http://schemas.microsoft.com/office/drawing/2014/main" id="{00000000-0008-0000-0000-00007B060000}"/>
              </a:ext>
            </a:extLst>
          </xdr:cNvPr>
          <xdr:cNvSpPr>
            <a:spLocks noChangeArrowheads="1"/>
          </xdr:cNvSpPr>
        </xdr:nvSpPr>
        <xdr:spPr bwMode="auto">
          <a:xfrm>
            <a:off x="1885950" y="781050"/>
            <a:ext cx="57150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0" name="Rectangle 636">
            <a:extLst>
              <a:ext uri="{FF2B5EF4-FFF2-40B4-BE49-F238E27FC236}">
                <a16:creationId xmlns:a16="http://schemas.microsoft.com/office/drawing/2014/main" id="{00000000-0008-0000-0000-00007C060000}"/>
              </a:ext>
            </a:extLst>
          </xdr:cNvPr>
          <xdr:cNvSpPr>
            <a:spLocks noChangeArrowheads="1"/>
          </xdr:cNvSpPr>
        </xdr:nvSpPr>
        <xdr:spPr bwMode="auto">
          <a:xfrm>
            <a:off x="2466975" y="1009650"/>
            <a:ext cx="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1" name="Rectangle 637">
            <a:extLst>
              <a:ext uri="{FF2B5EF4-FFF2-40B4-BE49-F238E27FC236}">
                <a16:creationId xmlns:a16="http://schemas.microsoft.com/office/drawing/2014/main" id="{00000000-0008-0000-0000-00007D060000}"/>
              </a:ext>
            </a:extLst>
          </xdr:cNvPr>
          <xdr:cNvSpPr>
            <a:spLocks noChangeArrowheads="1"/>
          </xdr:cNvSpPr>
        </xdr:nvSpPr>
        <xdr:spPr bwMode="auto">
          <a:xfrm>
            <a:off x="1628775" y="990600"/>
            <a:ext cx="194310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e-mail: fanmir24</a:t>
            </a:r>
            <a:r>
              <a:rPr lang="en-US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@yandex.ru</a:t>
            </a: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2" name="Rectangle 638">
            <a:extLst>
              <a:ext uri="{FF2B5EF4-FFF2-40B4-BE49-F238E27FC236}">
                <a16:creationId xmlns:a16="http://schemas.microsoft.com/office/drawing/2014/main" id="{00000000-0008-0000-0000-00007E060000}"/>
              </a:ext>
            </a:extLst>
          </xdr:cNvPr>
          <xdr:cNvSpPr>
            <a:spLocks noChangeArrowheads="1"/>
          </xdr:cNvSpPr>
        </xdr:nvSpPr>
        <xdr:spPr bwMode="auto">
          <a:xfrm>
            <a:off x="2676525" y="1000125"/>
            <a:ext cx="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3" name="Rectangle 639">
            <a:extLst>
              <a:ext uri="{FF2B5EF4-FFF2-40B4-BE49-F238E27FC236}">
                <a16:creationId xmlns:a16="http://schemas.microsoft.com/office/drawing/2014/main" id="{00000000-0008-0000-0000-00007F060000}"/>
              </a:ext>
            </a:extLst>
          </xdr:cNvPr>
          <xdr:cNvSpPr>
            <a:spLocks noChangeArrowheads="1"/>
          </xdr:cNvSpPr>
        </xdr:nvSpPr>
        <xdr:spPr bwMode="auto">
          <a:xfrm>
            <a:off x="1962150" y="1181100"/>
            <a:ext cx="7810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000" b="0" i="0" baseline="0">
                <a:effectLst/>
                <a:latin typeface="+mn-lt"/>
                <a:ea typeface="+mn-ea"/>
                <a:cs typeface="+mn-cs"/>
              </a:rPr>
              <a:t>www</a:t>
            </a:r>
            <a:r>
              <a:rPr lang="en-US" sz="1000" b="0" i="0" baseline="0">
                <a:effectLst/>
                <a:latin typeface="+mn-lt"/>
                <a:ea typeface="+mn-ea"/>
                <a:cs typeface="+mn-cs"/>
              </a:rPr>
              <a:t>.</a:t>
            </a: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фанмир.рф</a:t>
            </a:r>
          </a:p>
        </xdr:txBody>
      </xdr:sp>
      <xdr:sp macro="" textlink="">
        <xdr:nvSpPr>
          <xdr:cNvPr id="1664" name="Rectangle 640">
            <a:extLst>
              <a:ext uri="{FF2B5EF4-FFF2-40B4-BE49-F238E27FC236}">
                <a16:creationId xmlns:a16="http://schemas.microsoft.com/office/drawing/2014/main" id="{00000000-0008-0000-0000-000080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1181100"/>
            <a:ext cx="419100" cy="209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endParaRPr lang="ru-RU" sz="1300" b="0" i="0" u="none" strike="noStrike" baseline="0">
              <a:solidFill>
                <a:srgbClr val="141821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65" name="Rectangle 641">
            <a:extLst>
              <a:ext uri="{FF2B5EF4-FFF2-40B4-BE49-F238E27FC236}">
                <a16:creationId xmlns:a16="http://schemas.microsoft.com/office/drawing/2014/main" id="{00000000-0008-0000-0000-000081060000}"/>
              </a:ext>
            </a:extLst>
          </xdr:cNvPr>
          <xdr:cNvSpPr>
            <a:spLocks noChangeArrowheads="1"/>
          </xdr:cNvSpPr>
        </xdr:nvSpPr>
        <xdr:spPr bwMode="auto">
          <a:xfrm>
            <a:off x="2486025" y="1371600"/>
            <a:ext cx="8572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, </a:t>
            </a:r>
          </a:p>
        </xdr:txBody>
      </xdr:sp>
      <xdr:sp macro="" textlink="">
        <xdr:nvSpPr>
          <xdr:cNvPr id="1666" name="Rectangle 642">
            <a:extLst>
              <a:ext uri="{FF2B5EF4-FFF2-40B4-BE49-F238E27FC236}">
                <a16:creationId xmlns:a16="http://schemas.microsoft.com/office/drawing/2014/main" id="{00000000-0008-0000-0000-000082060000}"/>
              </a:ext>
            </a:extLst>
          </xdr:cNvPr>
          <xdr:cNvSpPr>
            <a:spLocks noChangeArrowheads="1"/>
          </xdr:cNvSpPr>
        </xdr:nvSpPr>
        <xdr:spPr bwMode="auto">
          <a:xfrm>
            <a:off x="1638300" y="1371600"/>
            <a:ext cx="1038225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www.plydex.ru</a:t>
            </a:r>
          </a:p>
        </xdr:txBody>
      </xdr:sp>
      <xdr:sp macro="" textlink="">
        <xdr:nvSpPr>
          <xdr:cNvPr id="1667" name="Rectangle 643">
            <a:extLst>
              <a:ext uri="{FF2B5EF4-FFF2-40B4-BE49-F238E27FC236}">
                <a16:creationId xmlns:a16="http://schemas.microsoft.com/office/drawing/2014/main" id="{00000000-0008-0000-0000-000083060000}"/>
              </a:ext>
            </a:extLst>
          </xdr:cNvPr>
          <xdr:cNvSpPr>
            <a:spLocks noChangeArrowheads="1"/>
          </xdr:cNvSpPr>
        </xdr:nvSpPr>
        <xdr:spPr bwMode="auto">
          <a:xfrm>
            <a:off x="2714625" y="1381125"/>
            <a:ext cx="120015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noAutofit/>
          </a:bodyPr>
          <a:lstStyle/>
          <a:p>
            <a:pPr algn="l" rtl="0">
              <a:defRPr sz="1000"/>
            </a:pPr>
            <a:r>
              <a:rPr lang="ru-RU" sz="1300" b="0" i="0" u="none" strike="noStrike" baseline="0">
                <a:solidFill>
                  <a:srgbClr val="141821"/>
                </a:solidFill>
                <a:latin typeface="Times New Roman"/>
                <a:cs typeface="Times New Roman"/>
              </a:rPr>
              <a:t>www.plydex24.ru</a:t>
            </a:r>
          </a:p>
        </xdr:txBody>
      </xdr:sp>
      <xdr:sp macro="" textlink="">
        <xdr:nvSpPr>
          <xdr:cNvPr id="1668" name="Freeform 644">
            <a:extLst>
              <a:ext uri="{FF2B5EF4-FFF2-40B4-BE49-F238E27FC236}">
                <a16:creationId xmlns:a16="http://schemas.microsoft.com/office/drawing/2014/main" id="{00000000-0008-0000-0000-000084060000}"/>
              </a:ext>
            </a:extLst>
          </xdr:cNvPr>
          <xdr:cNvSpPr>
            <a:spLocks noEditPoints="1"/>
          </xdr:cNvSpPr>
        </xdr:nvSpPr>
        <xdr:spPr bwMode="auto">
          <a:xfrm>
            <a:off x="381000" y="381000"/>
            <a:ext cx="1152525" cy="752475"/>
          </a:xfrm>
          <a:custGeom>
            <a:avLst/>
            <a:gdLst>
              <a:gd name="T0" fmla="*/ 1452 w 2226"/>
              <a:gd name="T1" fmla="*/ 570 h 1302"/>
              <a:gd name="T2" fmla="*/ 941 w 2226"/>
              <a:gd name="T3" fmla="*/ 493 h 1302"/>
              <a:gd name="T4" fmla="*/ 1049 w 2226"/>
              <a:gd name="T5" fmla="*/ 551 h 1302"/>
              <a:gd name="T6" fmla="*/ 1330 w 2226"/>
              <a:gd name="T7" fmla="*/ 685 h 1302"/>
              <a:gd name="T8" fmla="*/ 695 w 2226"/>
              <a:gd name="T9" fmla="*/ 439 h 1302"/>
              <a:gd name="T10" fmla="*/ 574 w 2226"/>
              <a:gd name="T11" fmla="*/ 865 h 1302"/>
              <a:gd name="T12" fmla="*/ 695 w 2226"/>
              <a:gd name="T13" fmla="*/ 439 h 1302"/>
              <a:gd name="T14" fmla="*/ 409 w 2226"/>
              <a:gd name="T15" fmla="*/ 590 h 1302"/>
              <a:gd name="T16" fmla="*/ 462 w 2226"/>
              <a:gd name="T17" fmla="*/ 306 h 1302"/>
              <a:gd name="T18" fmla="*/ 923 w 2226"/>
              <a:gd name="T19" fmla="*/ 292 h 1302"/>
              <a:gd name="T20" fmla="*/ 927 w 2226"/>
              <a:gd name="T21" fmla="*/ 294 h 1302"/>
              <a:gd name="T22" fmla="*/ 727 w 2226"/>
              <a:gd name="T23" fmla="*/ 351 h 1302"/>
              <a:gd name="T24" fmla="*/ 1676 w 2226"/>
              <a:gd name="T25" fmla="*/ 267 h 1302"/>
              <a:gd name="T26" fmla="*/ 2209 w 2226"/>
              <a:gd name="T27" fmla="*/ 523 h 1302"/>
              <a:gd name="T28" fmla="*/ 1258 w 2226"/>
              <a:gd name="T29" fmla="*/ 897 h 1302"/>
              <a:gd name="T30" fmla="*/ 1478 w 2226"/>
              <a:gd name="T31" fmla="*/ 774 h 1302"/>
              <a:gd name="T32" fmla="*/ 1654 w 2226"/>
              <a:gd name="T33" fmla="*/ 863 h 1302"/>
              <a:gd name="T34" fmla="*/ 1622 w 2226"/>
              <a:gd name="T35" fmla="*/ 907 h 1302"/>
              <a:gd name="T36" fmla="*/ 1234 w 2226"/>
              <a:gd name="T37" fmla="*/ 969 h 1302"/>
              <a:gd name="T38" fmla="*/ 1854 w 2226"/>
              <a:gd name="T39" fmla="*/ 1301 h 1302"/>
              <a:gd name="T40" fmla="*/ 1287 w 2226"/>
              <a:gd name="T41" fmla="*/ 1213 h 1302"/>
              <a:gd name="T42" fmla="*/ 871 w 2226"/>
              <a:gd name="T43" fmla="*/ 1244 h 1302"/>
              <a:gd name="T44" fmla="*/ 1043 w 2226"/>
              <a:gd name="T45" fmla="*/ 1055 h 1302"/>
              <a:gd name="T46" fmla="*/ 451 w 2226"/>
              <a:gd name="T47" fmla="*/ 856 h 1302"/>
              <a:gd name="T48" fmla="*/ 319 w 2226"/>
              <a:gd name="T49" fmla="*/ 811 h 1302"/>
              <a:gd name="T50" fmla="*/ 417 w 2226"/>
              <a:gd name="T51" fmla="*/ 779 h 1302"/>
              <a:gd name="T52" fmla="*/ 670 w 2226"/>
              <a:gd name="T53" fmla="*/ 378 h 1302"/>
              <a:gd name="T54" fmla="*/ 540 w 2226"/>
              <a:gd name="T55" fmla="*/ 315 h 1302"/>
              <a:gd name="T56" fmla="*/ 308 w 2226"/>
              <a:gd name="T57" fmla="*/ 809 h 1302"/>
              <a:gd name="T58" fmla="*/ 229 w 2226"/>
              <a:gd name="T59" fmla="*/ 766 h 1302"/>
              <a:gd name="T60" fmla="*/ 308 w 2226"/>
              <a:gd name="T61" fmla="*/ 809 h 1302"/>
              <a:gd name="T62" fmla="*/ 421 w 2226"/>
              <a:gd name="T63" fmla="*/ 249 h 1302"/>
              <a:gd name="T64" fmla="*/ 688 w 2226"/>
              <a:gd name="T65" fmla="*/ 159 h 1302"/>
              <a:gd name="T66" fmla="*/ 210 w 2226"/>
              <a:gd name="T67" fmla="*/ 798 h 1302"/>
              <a:gd name="T68" fmla="*/ 9 w 2226"/>
              <a:gd name="T69" fmla="*/ 783 h 1302"/>
              <a:gd name="T70" fmla="*/ 210 w 2226"/>
              <a:gd name="T71" fmla="*/ 798 h 1302"/>
              <a:gd name="T72" fmla="*/ 156 w 2226"/>
              <a:gd name="T73" fmla="*/ 37 h 1302"/>
              <a:gd name="T74" fmla="*/ 561 w 2226"/>
              <a:gd name="T75" fmla="*/ 51 h 1302"/>
              <a:gd name="T76" fmla="*/ 383 w 2226"/>
              <a:gd name="T77" fmla="*/ 222 h 13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</a:cxnLst>
            <a:rect l="0" t="0" r="r" b="b"/>
            <a:pathLst>
              <a:path w="2226" h="1302">
                <a:moveTo>
                  <a:pt x="1087" y="1007"/>
                </a:moveTo>
                <a:lnTo>
                  <a:pt x="1452" y="570"/>
                </a:lnTo>
                <a:lnTo>
                  <a:pt x="944" y="477"/>
                </a:lnTo>
                <a:lnTo>
                  <a:pt x="941" y="493"/>
                </a:lnTo>
                <a:cubicBezTo>
                  <a:pt x="977" y="508"/>
                  <a:pt x="1001" y="523"/>
                  <a:pt x="1025" y="558"/>
                </a:cubicBezTo>
                <a:lnTo>
                  <a:pt x="1049" y="551"/>
                </a:lnTo>
                <a:cubicBezTo>
                  <a:pt x="1085" y="538"/>
                  <a:pt x="1121" y="553"/>
                  <a:pt x="1150" y="570"/>
                </a:cubicBezTo>
                <a:lnTo>
                  <a:pt x="1330" y="685"/>
                </a:lnTo>
                <a:lnTo>
                  <a:pt x="1087" y="1007"/>
                </a:lnTo>
                <a:close/>
                <a:moveTo>
                  <a:pt x="695" y="439"/>
                </a:moveTo>
                <a:cubicBezTo>
                  <a:pt x="786" y="461"/>
                  <a:pt x="832" y="575"/>
                  <a:pt x="799" y="693"/>
                </a:cubicBezTo>
                <a:cubicBezTo>
                  <a:pt x="766" y="811"/>
                  <a:pt x="665" y="888"/>
                  <a:pt x="574" y="865"/>
                </a:cubicBezTo>
                <a:cubicBezTo>
                  <a:pt x="484" y="842"/>
                  <a:pt x="437" y="728"/>
                  <a:pt x="471" y="611"/>
                </a:cubicBezTo>
                <a:cubicBezTo>
                  <a:pt x="504" y="493"/>
                  <a:pt x="604" y="416"/>
                  <a:pt x="695" y="439"/>
                </a:cubicBezTo>
                <a:close/>
                <a:moveTo>
                  <a:pt x="417" y="779"/>
                </a:moveTo>
                <a:cubicBezTo>
                  <a:pt x="396" y="723"/>
                  <a:pt x="392" y="656"/>
                  <a:pt x="409" y="590"/>
                </a:cubicBezTo>
                <a:cubicBezTo>
                  <a:pt x="424" y="534"/>
                  <a:pt x="452" y="485"/>
                  <a:pt x="489" y="449"/>
                </a:cubicBezTo>
                <a:lnTo>
                  <a:pt x="462" y="306"/>
                </a:lnTo>
                <a:cubicBezTo>
                  <a:pt x="538" y="229"/>
                  <a:pt x="633" y="185"/>
                  <a:pt x="727" y="190"/>
                </a:cubicBezTo>
                <a:cubicBezTo>
                  <a:pt x="776" y="227"/>
                  <a:pt x="839" y="260"/>
                  <a:pt x="923" y="292"/>
                </a:cubicBezTo>
                <a:cubicBezTo>
                  <a:pt x="927" y="298"/>
                  <a:pt x="932" y="304"/>
                  <a:pt x="937" y="311"/>
                </a:cubicBezTo>
                <a:cubicBezTo>
                  <a:pt x="933" y="305"/>
                  <a:pt x="930" y="299"/>
                  <a:pt x="927" y="294"/>
                </a:cubicBezTo>
                <a:cubicBezTo>
                  <a:pt x="1001" y="322"/>
                  <a:pt x="1093" y="349"/>
                  <a:pt x="1208" y="377"/>
                </a:cubicBezTo>
                <a:cubicBezTo>
                  <a:pt x="1084" y="412"/>
                  <a:pt x="892" y="395"/>
                  <a:pt x="727" y="351"/>
                </a:cubicBezTo>
                <a:cubicBezTo>
                  <a:pt x="1056" y="470"/>
                  <a:pt x="1369" y="421"/>
                  <a:pt x="1595" y="271"/>
                </a:cubicBezTo>
                <a:cubicBezTo>
                  <a:pt x="1607" y="263"/>
                  <a:pt x="1646" y="253"/>
                  <a:pt x="1676" y="267"/>
                </a:cubicBezTo>
                <a:lnTo>
                  <a:pt x="2184" y="474"/>
                </a:lnTo>
                <a:cubicBezTo>
                  <a:pt x="2219" y="488"/>
                  <a:pt x="2226" y="515"/>
                  <a:pt x="2209" y="523"/>
                </a:cubicBezTo>
                <a:cubicBezTo>
                  <a:pt x="2039" y="595"/>
                  <a:pt x="1844" y="618"/>
                  <a:pt x="1554" y="598"/>
                </a:cubicBezTo>
                <a:lnTo>
                  <a:pt x="1258" y="897"/>
                </a:lnTo>
                <a:lnTo>
                  <a:pt x="1432" y="748"/>
                </a:lnTo>
                <a:lnTo>
                  <a:pt x="1478" y="774"/>
                </a:lnTo>
                <a:cubicBezTo>
                  <a:pt x="1558" y="710"/>
                  <a:pt x="1600" y="666"/>
                  <a:pt x="1644" y="685"/>
                </a:cubicBezTo>
                <a:cubicBezTo>
                  <a:pt x="1685" y="704"/>
                  <a:pt x="1688" y="763"/>
                  <a:pt x="1654" y="863"/>
                </a:cubicBezTo>
                <a:cubicBezTo>
                  <a:pt x="1728" y="901"/>
                  <a:pt x="1859" y="960"/>
                  <a:pt x="1854" y="970"/>
                </a:cubicBezTo>
                <a:cubicBezTo>
                  <a:pt x="1849" y="979"/>
                  <a:pt x="1705" y="926"/>
                  <a:pt x="1622" y="907"/>
                </a:cubicBezTo>
                <a:cubicBezTo>
                  <a:pt x="1611" y="932"/>
                  <a:pt x="1573" y="989"/>
                  <a:pt x="1531" y="992"/>
                </a:cubicBezTo>
                <a:cubicBezTo>
                  <a:pt x="1488" y="994"/>
                  <a:pt x="1333" y="976"/>
                  <a:pt x="1234" y="969"/>
                </a:cubicBezTo>
                <a:cubicBezTo>
                  <a:pt x="1437" y="1049"/>
                  <a:pt x="1627" y="1158"/>
                  <a:pt x="1835" y="1267"/>
                </a:cubicBezTo>
                <a:cubicBezTo>
                  <a:pt x="1859" y="1280"/>
                  <a:pt x="1875" y="1302"/>
                  <a:pt x="1854" y="1301"/>
                </a:cubicBezTo>
                <a:cubicBezTo>
                  <a:pt x="1703" y="1300"/>
                  <a:pt x="1549" y="1286"/>
                  <a:pt x="1385" y="1255"/>
                </a:cubicBezTo>
                <a:cubicBezTo>
                  <a:pt x="1347" y="1254"/>
                  <a:pt x="1310" y="1231"/>
                  <a:pt x="1287" y="1213"/>
                </a:cubicBezTo>
                <a:cubicBezTo>
                  <a:pt x="1204" y="1149"/>
                  <a:pt x="1175" y="1129"/>
                  <a:pt x="1082" y="1076"/>
                </a:cubicBezTo>
                <a:lnTo>
                  <a:pt x="871" y="1244"/>
                </a:lnTo>
                <a:cubicBezTo>
                  <a:pt x="860" y="1247"/>
                  <a:pt x="859" y="1238"/>
                  <a:pt x="875" y="1222"/>
                </a:cubicBezTo>
                <a:lnTo>
                  <a:pt x="1043" y="1055"/>
                </a:lnTo>
                <a:cubicBezTo>
                  <a:pt x="956" y="999"/>
                  <a:pt x="854" y="972"/>
                  <a:pt x="761" y="965"/>
                </a:cubicBezTo>
                <a:cubicBezTo>
                  <a:pt x="622" y="984"/>
                  <a:pt x="542" y="933"/>
                  <a:pt x="451" y="856"/>
                </a:cubicBezTo>
                <a:cubicBezTo>
                  <a:pt x="432" y="836"/>
                  <a:pt x="426" y="832"/>
                  <a:pt x="416" y="830"/>
                </a:cubicBezTo>
                <a:cubicBezTo>
                  <a:pt x="387" y="822"/>
                  <a:pt x="353" y="816"/>
                  <a:pt x="319" y="811"/>
                </a:cubicBezTo>
                <a:cubicBezTo>
                  <a:pt x="316" y="797"/>
                  <a:pt x="313" y="783"/>
                  <a:pt x="311" y="768"/>
                </a:cubicBezTo>
                <a:cubicBezTo>
                  <a:pt x="349" y="770"/>
                  <a:pt x="386" y="774"/>
                  <a:pt x="417" y="779"/>
                </a:cubicBezTo>
                <a:close/>
                <a:moveTo>
                  <a:pt x="549" y="404"/>
                </a:moveTo>
                <a:cubicBezTo>
                  <a:pt x="586" y="383"/>
                  <a:pt x="628" y="374"/>
                  <a:pt x="670" y="378"/>
                </a:cubicBezTo>
                <a:lnTo>
                  <a:pt x="671" y="378"/>
                </a:lnTo>
                <a:lnTo>
                  <a:pt x="540" y="315"/>
                </a:lnTo>
                <a:lnTo>
                  <a:pt x="549" y="404"/>
                </a:lnTo>
                <a:close/>
                <a:moveTo>
                  <a:pt x="308" y="809"/>
                </a:moveTo>
                <a:cubicBezTo>
                  <a:pt x="283" y="805"/>
                  <a:pt x="257" y="802"/>
                  <a:pt x="231" y="800"/>
                </a:cubicBezTo>
                <a:cubicBezTo>
                  <a:pt x="230" y="789"/>
                  <a:pt x="229" y="778"/>
                  <a:pt x="229" y="766"/>
                </a:cubicBezTo>
                <a:cubicBezTo>
                  <a:pt x="251" y="766"/>
                  <a:pt x="274" y="767"/>
                  <a:pt x="297" y="768"/>
                </a:cubicBezTo>
                <a:cubicBezTo>
                  <a:pt x="300" y="782"/>
                  <a:pt x="304" y="796"/>
                  <a:pt x="308" y="809"/>
                </a:cubicBezTo>
                <a:close/>
                <a:moveTo>
                  <a:pt x="450" y="268"/>
                </a:moveTo>
                <a:cubicBezTo>
                  <a:pt x="440" y="262"/>
                  <a:pt x="431" y="255"/>
                  <a:pt x="421" y="249"/>
                </a:cubicBezTo>
                <a:cubicBezTo>
                  <a:pt x="485" y="181"/>
                  <a:pt x="559" y="131"/>
                  <a:pt x="637" y="105"/>
                </a:cubicBezTo>
                <a:cubicBezTo>
                  <a:pt x="653" y="124"/>
                  <a:pt x="670" y="142"/>
                  <a:pt x="688" y="159"/>
                </a:cubicBezTo>
                <a:cubicBezTo>
                  <a:pt x="604" y="160"/>
                  <a:pt x="519" y="200"/>
                  <a:pt x="450" y="268"/>
                </a:cubicBezTo>
                <a:close/>
                <a:moveTo>
                  <a:pt x="210" y="798"/>
                </a:moveTo>
                <a:cubicBezTo>
                  <a:pt x="156" y="794"/>
                  <a:pt x="106" y="792"/>
                  <a:pt x="68" y="793"/>
                </a:cubicBezTo>
                <a:cubicBezTo>
                  <a:pt x="35" y="794"/>
                  <a:pt x="14" y="787"/>
                  <a:pt x="9" y="783"/>
                </a:cubicBezTo>
                <a:cubicBezTo>
                  <a:pt x="0" y="777"/>
                  <a:pt x="96" y="767"/>
                  <a:pt x="206" y="766"/>
                </a:cubicBezTo>
                <a:cubicBezTo>
                  <a:pt x="207" y="777"/>
                  <a:pt x="209" y="788"/>
                  <a:pt x="210" y="798"/>
                </a:cubicBezTo>
                <a:close/>
                <a:moveTo>
                  <a:pt x="383" y="222"/>
                </a:moveTo>
                <a:cubicBezTo>
                  <a:pt x="295" y="159"/>
                  <a:pt x="221" y="98"/>
                  <a:pt x="156" y="37"/>
                </a:cubicBezTo>
                <a:cubicBezTo>
                  <a:pt x="145" y="17"/>
                  <a:pt x="142" y="0"/>
                  <a:pt x="190" y="7"/>
                </a:cubicBezTo>
                <a:lnTo>
                  <a:pt x="561" y="51"/>
                </a:lnTo>
                <a:cubicBezTo>
                  <a:pt x="587" y="57"/>
                  <a:pt x="595" y="58"/>
                  <a:pt x="605" y="67"/>
                </a:cubicBezTo>
                <a:cubicBezTo>
                  <a:pt x="524" y="95"/>
                  <a:pt x="448" y="149"/>
                  <a:pt x="383" y="222"/>
                </a:cubicBezTo>
                <a:close/>
              </a:path>
            </a:pathLst>
          </a:custGeom>
          <a:solidFill>
            <a:srgbClr val="62341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69" name="Freeform 645">
            <a:extLst>
              <a:ext uri="{FF2B5EF4-FFF2-40B4-BE49-F238E27FC236}">
                <a16:creationId xmlns:a16="http://schemas.microsoft.com/office/drawing/2014/main" id="{00000000-0008-0000-0000-000085060000}"/>
              </a:ext>
            </a:extLst>
          </xdr:cNvPr>
          <xdr:cNvSpPr>
            <a:spLocks noEditPoints="1"/>
          </xdr:cNvSpPr>
        </xdr:nvSpPr>
        <xdr:spPr bwMode="auto">
          <a:xfrm>
            <a:off x="342900" y="914400"/>
            <a:ext cx="857250" cy="533400"/>
          </a:xfrm>
          <a:custGeom>
            <a:avLst/>
            <a:gdLst>
              <a:gd name="T0" fmla="*/ 19 w 1657"/>
              <a:gd name="T1" fmla="*/ 161 h 906"/>
              <a:gd name="T2" fmla="*/ 56 w 1657"/>
              <a:gd name="T3" fmla="*/ 84 h 906"/>
              <a:gd name="T4" fmla="*/ 230 w 1657"/>
              <a:gd name="T5" fmla="*/ 43 h 906"/>
              <a:gd name="T6" fmla="*/ 213 w 1657"/>
              <a:gd name="T7" fmla="*/ 158 h 906"/>
              <a:gd name="T8" fmla="*/ 98 w 1657"/>
              <a:gd name="T9" fmla="*/ 150 h 906"/>
              <a:gd name="T10" fmla="*/ 125 w 1657"/>
              <a:gd name="T11" fmla="*/ 42 h 906"/>
              <a:gd name="T12" fmla="*/ 148 w 1657"/>
              <a:gd name="T13" fmla="*/ 359 h 906"/>
              <a:gd name="T14" fmla="*/ 136 w 1657"/>
              <a:gd name="T15" fmla="*/ 226 h 906"/>
              <a:gd name="T16" fmla="*/ 211 w 1657"/>
              <a:gd name="T17" fmla="*/ 219 h 906"/>
              <a:gd name="T18" fmla="*/ 260 w 1657"/>
              <a:gd name="T19" fmla="*/ 286 h 906"/>
              <a:gd name="T20" fmla="*/ 160 w 1657"/>
              <a:gd name="T21" fmla="*/ 299 h 906"/>
              <a:gd name="T22" fmla="*/ 146 w 1657"/>
              <a:gd name="T23" fmla="*/ 291 h 906"/>
              <a:gd name="T24" fmla="*/ 216 w 1657"/>
              <a:gd name="T25" fmla="*/ 420 h 906"/>
              <a:gd name="T26" fmla="*/ 187 w 1657"/>
              <a:gd name="T27" fmla="*/ 376 h 906"/>
              <a:gd name="T28" fmla="*/ 266 w 1657"/>
              <a:gd name="T29" fmla="*/ 386 h 906"/>
              <a:gd name="T30" fmla="*/ 347 w 1657"/>
              <a:gd name="T31" fmla="*/ 450 h 906"/>
              <a:gd name="T32" fmla="*/ 403 w 1657"/>
              <a:gd name="T33" fmla="*/ 594 h 906"/>
              <a:gd name="T34" fmla="*/ 372 w 1657"/>
              <a:gd name="T35" fmla="*/ 606 h 906"/>
              <a:gd name="T36" fmla="*/ 324 w 1657"/>
              <a:gd name="T37" fmla="*/ 501 h 906"/>
              <a:gd name="T38" fmla="*/ 405 w 1657"/>
              <a:gd name="T39" fmla="*/ 537 h 906"/>
              <a:gd name="T40" fmla="*/ 513 w 1657"/>
              <a:gd name="T41" fmla="*/ 713 h 906"/>
              <a:gd name="T42" fmla="*/ 407 w 1657"/>
              <a:gd name="T43" fmla="*/ 754 h 906"/>
              <a:gd name="T44" fmla="*/ 462 w 1657"/>
              <a:gd name="T45" fmla="*/ 583 h 906"/>
              <a:gd name="T46" fmla="*/ 501 w 1657"/>
              <a:gd name="T47" fmla="*/ 584 h 906"/>
              <a:gd name="T48" fmla="*/ 505 w 1657"/>
              <a:gd name="T49" fmla="*/ 607 h 906"/>
              <a:gd name="T50" fmla="*/ 666 w 1657"/>
              <a:gd name="T51" fmla="*/ 832 h 906"/>
              <a:gd name="T52" fmla="*/ 601 w 1657"/>
              <a:gd name="T53" fmla="*/ 778 h 906"/>
              <a:gd name="T54" fmla="*/ 595 w 1657"/>
              <a:gd name="T55" fmla="*/ 670 h 906"/>
              <a:gd name="T56" fmla="*/ 666 w 1657"/>
              <a:gd name="T57" fmla="*/ 705 h 906"/>
              <a:gd name="T58" fmla="*/ 712 w 1657"/>
              <a:gd name="T59" fmla="*/ 728 h 906"/>
              <a:gd name="T60" fmla="*/ 847 w 1657"/>
              <a:gd name="T61" fmla="*/ 891 h 906"/>
              <a:gd name="T62" fmla="*/ 929 w 1657"/>
              <a:gd name="T63" fmla="*/ 787 h 906"/>
              <a:gd name="T64" fmla="*/ 832 w 1657"/>
              <a:gd name="T65" fmla="*/ 856 h 906"/>
              <a:gd name="T66" fmla="*/ 725 w 1657"/>
              <a:gd name="T67" fmla="*/ 829 h 906"/>
              <a:gd name="T68" fmla="*/ 794 w 1657"/>
              <a:gd name="T69" fmla="*/ 778 h 906"/>
              <a:gd name="T70" fmla="*/ 761 w 1657"/>
              <a:gd name="T71" fmla="*/ 837 h 906"/>
              <a:gd name="T72" fmla="*/ 972 w 1657"/>
              <a:gd name="T73" fmla="*/ 711 h 906"/>
              <a:gd name="T74" fmla="*/ 1026 w 1657"/>
              <a:gd name="T75" fmla="*/ 701 h 906"/>
              <a:gd name="T76" fmla="*/ 1036 w 1657"/>
              <a:gd name="T77" fmla="*/ 906 h 906"/>
              <a:gd name="T78" fmla="*/ 956 w 1657"/>
              <a:gd name="T79" fmla="*/ 906 h 906"/>
              <a:gd name="T80" fmla="*/ 989 w 1657"/>
              <a:gd name="T81" fmla="*/ 815 h 906"/>
              <a:gd name="T82" fmla="*/ 1069 w 1657"/>
              <a:gd name="T83" fmla="*/ 879 h 906"/>
              <a:gd name="T84" fmla="*/ 1312 w 1657"/>
              <a:gd name="T85" fmla="*/ 862 h 906"/>
              <a:gd name="T86" fmla="*/ 1261 w 1657"/>
              <a:gd name="T87" fmla="*/ 859 h 906"/>
              <a:gd name="T88" fmla="*/ 1196 w 1657"/>
              <a:gd name="T89" fmla="*/ 902 h 906"/>
              <a:gd name="T90" fmla="*/ 1157 w 1657"/>
              <a:gd name="T91" fmla="*/ 767 h 906"/>
              <a:gd name="T92" fmla="*/ 1262 w 1657"/>
              <a:gd name="T93" fmla="*/ 791 h 906"/>
              <a:gd name="T94" fmla="*/ 1338 w 1657"/>
              <a:gd name="T95" fmla="*/ 833 h 906"/>
              <a:gd name="T96" fmla="*/ 1461 w 1657"/>
              <a:gd name="T97" fmla="*/ 751 h 906"/>
              <a:gd name="T98" fmla="*/ 1361 w 1657"/>
              <a:gd name="T99" fmla="*/ 731 h 906"/>
              <a:gd name="T100" fmla="*/ 1421 w 1657"/>
              <a:gd name="T101" fmla="*/ 771 h 906"/>
              <a:gd name="T102" fmla="*/ 1525 w 1657"/>
              <a:gd name="T103" fmla="*/ 753 h 906"/>
              <a:gd name="T104" fmla="*/ 1638 w 1657"/>
              <a:gd name="T105" fmla="*/ 743 h 906"/>
              <a:gd name="T106" fmla="*/ 1596 w 1657"/>
              <a:gd name="T107" fmla="*/ 773 h 906"/>
              <a:gd name="T108" fmla="*/ 1516 w 1657"/>
              <a:gd name="T109" fmla="*/ 614 h 906"/>
              <a:gd name="T110" fmla="*/ 1605 w 1657"/>
              <a:gd name="T111" fmla="*/ 638 h 906"/>
              <a:gd name="T112" fmla="*/ 1622 w 1657"/>
              <a:gd name="T113" fmla="*/ 677 h 90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657" h="906">
                <a:moveTo>
                  <a:pt x="156" y="188"/>
                </a:moveTo>
                <a:cubicBezTo>
                  <a:pt x="126" y="194"/>
                  <a:pt x="105" y="194"/>
                  <a:pt x="91" y="187"/>
                </a:cubicBezTo>
                <a:cubicBezTo>
                  <a:pt x="79" y="181"/>
                  <a:pt x="72" y="171"/>
                  <a:pt x="69" y="156"/>
                </a:cubicBezTo>
                <a:cubicBezTo>
                  <a:pt x="68" y="152"/>
                  <a:pt x="67" y="149"/>
                  <a:pt x="68" y="146"/>
                </a:cubicBezTo>
                <a:cubicBezTo>
                  <a:pt x="68" y="141"/>
                  <a:pt x="69" y="135"/>
                  <a:pt x="72" y="130"/>
                </a:cubicBezTo>
                <a:lnTo>
                  <a:pt x="38" y="137"/>
                </a:lnTo>
                <a:lnTo>
                  <a:pt x="41" y="152"/>
                </a:lnTo>
                <a:cubicBezTo>
                  <a:pt x="41" y="155"/>
                  <a:pt x="40" y="156"/>
                  <a:pt x="37" y="157"/>
                </a:cubicBezTo>
                <a:lnTo>
                  <a:pt x="19" y="161"/>
                </a:lnTo>
                <a:cubicBezTo>
                  <a:pt x="17" y="161"/>
                  <a:pt x="16" y="161"/>
                  <a:pt x="16" y="161"/>
                </a:cubicBezTo>
                <a:cubicBezTo>
                  <a:pt x="15" y="160"/>
                  <a:pt x="15" y="159"/>
                  <a:pt x="14" y="157"/>
                </a:cubicBezTo>
                <a:lnTo>
                  <a:pt x="1" y="92"/>
                </a:lnTo>
                <a:cubicBezTo>
                  <a:pt x="0" y="89"/>
                  <a:pt x="1" y="87"/>
                  <a:pt x="4" y="87"/>
                </a:cubicBezTo>
                <a:lnTo>
                  <a:pt x="22" y="83"/>
                </a:lnTo>
                <a:cubicBezTo>
                  <a:pt x="25" y="82"/>
                  <a:pt x="27" y="83"/>
                  <a:pt x="27" y="86"/>
                </a:cubicBezTo>
                <a:lnTo>
                  <a:pt x="30" y="101"/>
                </a:lnTo>
                <a:lnTo>
                  <a:pt x="65" y="93"/>
                </a:lnTo>
                <a:cubicBezTo>
                  <a:pt x="62" y="91"/>
                  <a:pt x="59" y="88"/>
                  <a:pt x="56" y="84"/>
                </a:cubicBezTo>
                <a:cubicBezTo>
                  <a:pt x="54" y="79"/>
                  <a:pt x="52" y="75"/>
                  <a:pt x="51" y="71"/>
                </a:cubicBezTo>
                <a:cubicBezTo>
                  <a:pt x="47" y="52"/>
                  <a:pt x="53" y="37"/>
                  <a:pt x="69" y="26"/>
                </a:cubicBezTo>
                <a:cubicBezTo>
                  <a:pt x="80" y="18"/>
                  <a:pt x="97" y="11"/>
                  <a:pt x="119" y="6"/>
                </a:cubicBezTo>
                <a:cubicBezTo>
                  <a:pt x="147" y="0"/>
                  <a:pt x="168" y="2"/>
                  <a:pt x="182" y="11"/>
                </a:cubicBezTo>
                <a:cubicBezTo>
                  <a:pt x="192" y="16"/>
                  <a:pt x="198" y="25"/>
                  <a:pt x="200" y="36"/>
                </a:cubicBezTo>
                <a:cubicBezTo>
                  <a:pt x="201" y="41"/>
                  <a:pt x="201" y="45"/>
                  <a:pt x="200" y="50"/>
                </a:cubicBezTo>
                <a:cubicBezTo>
                  <a:pt x="199" y="55"/>
                  <a:pt x="197" y="61"/>
                  <a:pt x="194" y="66"/>
                </a:cubicBezTo>
                <a:lnTo>
                  <a:pt x="233" y="58"/>
                </a:lnTo>
                <a:lnTo>
                  <a:pt x="230" y="43"/>
                </a:lnTo>
                <a:cubicBezTo>
                  <a:pt x="229" y="40"/>
                  <a:pt x="230" y="39"/>
                  <a:pt x="233" y="38"/>
                </a:cubicBezTo>
                <a:lnTo>
                  <a:pt x="252" y="34"/>
                </a:lnTo>
                <a:cubicBezTo>
                  <a:pt x="254" y="34"/>
                  <a:pt x="256" y="35"/>
                  <a:pt x="256" y="38"/>
                </a:cubicBezTo>
                <a:lnTo>
                  <a:pt x="266" y="85"/>
                </a:lnTo>
                <a:cubicBezTo>
                  <a:pt x="266" y="87"/>
                  <a:pt x="266" y="89"/>
                  <a:pt x="264" y="89"/>
                </a:cubicBezTo>
                <a:lnTo>
                  <a:pt x="202" y="103"/>
                </a:lnTo>
                <a:cubicBezTo>
                  <a:pt x="206" y="106"/>
                  <a:pt x="210" y="110"/>
                  <a:pt x="213" y="115"/>
                </a:cubicBezTo>
                <a:cubicBezTo>
                  <a:pt x="216" y="119"/>
                  <a:pt x="218" y="123"/>
                  <a:pt x="219" y="127"/>
                </a:cubicBezTo>
                <a:cubicBezTo>
                  <a:pt x="221" y="139"/>
                  <a:pt x="219" y="149"/>
                  <a:pt x="213" y="158"/>
                </a:cubicBezTo>
                <a:cubicBezTo>
                  <a:pt x="203" y="172"/>
                  <a:pt x="184" y="182"/>
                  <a:pt x="156" y="188"/>
                </a:cubicBezTo>
                <a:close/>
                <a:moveTo>
                  <a:pt x="147" y="153"/>
                </a:moveTo>
                <a:cubicBezTo>
                  <a:pt x="165" y="149"/>
                  <a:pt x="177" y="145"/>
                  <a:pt x="183" y="140"/>
                </a:cubicBezTo>
                <a:cubicBezTo>
                  <a:pt x="189" y="135"/>
                  <a:pt x="191" y="129"/>
                  <a:pt x="190" y="122"/>
                </a:cubicBezTo>
                <a:cubicBezTo>
                  <a:pt x="188" y="115"/>
                  <a:pt x="183" y="111"/>
                  <a:pt x="175" y="108"/>
                </a:cubicBezTo>
                <a:lnTo>
                  <a:pt x="99" y="124"/>
                </a:lnTo>
                <a:cubicBezTo>
                  <a:pt x="96" y="127"/>
                  <a:pt x="95" y="130"/>
                  <a:pt x="94" y="133"/>
                </a:cubicBezTo>
                <a:cubicBezTo>
                  <a:pt x="93" y="137"/>
                  <a:pt x="93" y="139"/>
                  <a:pt x="94" y="142"/>
                </a:cubicBezTo>
                <a:cubicBezTo>
                  <a:pt x="94" y="145"/>
                  <a:pt x="96" y="148"/>
                  <a:pt x="98" y="150"/>
                </a:cubicBezTo>
                <a:cubicBezTo>
                  <a:pt x="99" y="153"/>
                  <a:pt x="102" y="154"/>
                  <a:pt x="106" y="156"/>
                </a:cubicBezTo>
                <a:cubicBezTo>
                  <a:pt x="109" y="157"/>
                  <a:pt x="114" y="157"/>
                  <a:pt x="120" y="157"/>
                </a:cubicBezTo>
                <a:cubicBezTo>
                  <a:pt x="126" y="157"/>
                  <a:pt x="135" y="156"/>
                  <a:pt x="147" y="153"/>
                </a:cubicBezTo>
                <a:close/>
                <a:moveTo>
                  <a:pt x="91" y="88"/>
                </a:moveTo>
                <a:lnTo>
                  <a:pt x="168" y="72"/>
                </a:lnTo>
                <a:cubicBezTo>
                  <a:pt x="171" y="69"/>
                  <a:pt x="173" y="66"/>
                  <a:pt x="174" y="63"/>
                </a:cubicBezTo>
                <a:cubicBezTo>
                  <a:pt x="176" y="59"/>
                  <a:pt x="176" y="56"/>
                  <a:pt x="175" y="53"/>
                </a:cubicBezTo>
                <a:cubicBezTo>
                  <a:pt x="174" y="44"/>
                  <a:pt x="167" y="40"/>
                  <a:pt x="157" y="39"/>
                </a:cubicBezTo>
                <a:cubicBezTo>
                  <a:pt x="149" y="38"/>
                  <a:pt x="138" y="39"/>
                  <a:pt x="125" y="42"/>
                </a:cubicBezTo>
                <a:cubicBezTo>
                  <a:pt x="113" y="44"/>
                  <a:pt x="104" y="47"/>
                  <a:pt x="98" y="49"/>
                </a:cubicBezTo>
                <a:cubicBezTo>
                  <a:pt x="92" y="51"/>
                  <a:pt x="88" y="54"/>
                  <a:pt x="85" y="56"/>
                </a:cubicBezTo>
                <a:cubicBezTo>
                  <a:pt x="83" y="59"/>
                  <a:pt x="81" y="62"/>
                  <a:pt x="80" y="64"/>
                </a:cubicBezTo>
                <a:cubicBezTo>
                  <a:pt x="79" y="67"/>
                  <a:pt x="79" y="70"/>
                  <a:pt x="80" y="73"/>
                </a:cubicBezTo>
                <a:cubicBezTo>
                  <a:pt x="80" y="76"/>
                  <a:pt x="81" y="79"/>
                  <a:pt x="82" y="80"/>
                </a:cubicBezTo>
                <a:cubicBezTo>
                  <a:pt x="84" y="83"/>
                  <a:pt x="87" y="86"/>
                  <a:pt x="91" y="88"/>
                </a:cubicBezTo>
                <a:close/>
                <a:moveTo>
                  <a:pt x="154" y="361"/>
                </a:moveTo>
                <a:cubicBezTo>
                  <a:pt x="152" y="362"/>
                  <a:pt x="151" y="362"/>
                  <a:pt x="150" y="362"/>
                </a:cubicBezTo>
                <a:cubicBezTo>
                  <a:pt x="150" y="362"/>
                  <a:pt x="149" y="361"/>
                  <a:pt x="148" y="359"/>
                </a:cubicBezTo>
                <a:lnTo>
                  <a:pt x="135" y="325"/>
                </a:lnTo>
                <a:cubicBezTo>
                  <a:pt x="134" y="323"/>
                  <a:pt x="134" y="321"/>
                  <a:pt x="135" y="319"/>
                </a:cubicBezTo>
                <a:cubicBezTo>
                  <a:pt x="136" y="317"/>
                  <a:pt x="138" y="315"/>
                  <a:pt x="141" y="313"/>
                </a:cubicBezTo>
                <a:lnTo>
                  <a:pt x="143" y="312"/>
                </a:lnTo>
                <a:lnTo>
                  <a:pt x="141" y="312"/>
                </a:lnTo>
                <a:cubicBezTo>
                  <a:pt x="133" y="308"/>
                  <a:pt x="127" y="304"/>
                  <a:pt x="122" y="300"/>
                </a:cubicBezTo>
                <a:cubicBezTo>
                  <a:pt x="118" y="295"/>
                  <a:pt x="115" y="290"/>
                  <a:pt x="112" y="284"/>
                </a:cubicBezTo>
                <a:cubicBezTo>
                  <a:pt x="108" y="273"/>
                  <a:pt x="107" y="262"/>
                  <a:pt x="110" y="252"/>
                </a:cubicBezTo>
                <a:cubicBezTo>
                  <a:pt x="114" y="240"/>
                  <a:pt x="123" y="232"/>
                  <a:pt x="136" y="226"/>
                </a:cubicBezTo>
                <a:cubicBezTo>
                  <a:pt x="153" y="219"/>
                  <a:pt x="167" y="220"/>
                  <a:pt x="179" y="229"/>
                </a:cubicBezTo>
                <a:cubicBezTo>
                  <a:pt x="190" y="237"/>
                  <a:pt x="200" y="252"/>
                  <a:pt x="209" y="274"/>
                </a:cubicBezTo>
                <a:lnTo>
                  <a:pt x="211" y="277"/>
                </a:lnTo>
                <a:lnTo>
                  <a:pt x="219" y="274"/>
                </a:lnTo>
                <a:cubicBezTo>
                  <a:pt x="225" y="271"/>
                  <a:pt x="229" y="269"/>
                  <a:pt x="231" y="267"/>
                </a:cubicBezTo>
                <a:cubicBezTo>
                  <a:pt x="234" y="262"/>
                  <a:pt x="235" y="256"/>
                  <a:pt x="232" y="248"/>
                </a:cubicBezTo>
                <a:cubicBezTo>
                  <a:pt x="229" y="243"/>
                  <a:pt x="227" y="238"/>
                  <a:pt x="223" y="233"/>
                </a:cubicBezTo>
                <a:cubicBezTo>
                  <a:pt x="221" y="230"/>
                  <a:pt x="218" y="227"/>
                  <a:pt x="215" y="223"/>
                </a:cubicBezTo>
                <a:cubicBezTo>
                  <a:pt x="213" y="221"/>
                  <a:pt x="212" y="220"/>
                  <a:pt x="211" y="219"/>
                </a:cubicBezTo>
                <a:cubicBezTo>
                  <a:pt x="210" y="218"/>
                  <a:pt x="209" y="217"/>
                  <a:pt x="209" y="216"/>
                </a:cubicBezTo>
                <a:cubicBezTo>
                  <a:pt x="208" y="215"/>
                  <a:pt x="209" y="213"/>
                  <a:pt x="210" y="212"/>
                </a:cubicBezTo>
                <a:lnTo>
                  <a:pt x="224" y="200"/>
                </a:lnTo>
                <a:cubicBezTo>
                  <a:pt x="226" y="199"/>
                  <a:pt x="227" y="198"/>
                  <a:pt x="227" y="198"/>
                </a:cubicBezTo>
                <a:cubicBezTo>
                  <a:pt x="228" y="197"/>
                  <a:pt x="230" y="197"/>
                  <a:pt x="231" y="198"/>
                </a:cubicBezTo>
                <a:cubicBezTo>
                  <a:pt x="232" y="198"/>
                  <a:pt x="233" y="200"/>
                  <a:pt x="235" y="202"/>
                </a:cubicBezTo>
                <a:cubicBezTo>
                  <a:pt x="239" y="205"/>
                  <a:pt x="242" y="210"/>
                  <a:pt x="246" y="215"/>
                </a:cubicBezTo>
                <a:cubicBezTo>
                  <a:pt x="252" y="224"/>
                  <a:pt x="257" y="234"/>
                  <a:pt x="261" y="243"/>
                </a:cubicBezTo>
                <a:cubicBezTo>
                  <a:pt x="268" y="260"/>
                  <a:pt x="268" y="274"/>
                  <a:pt x="260" y="286"/>
                </a:cubicBezTo>
                <a:cubicBezTo>
                  <a:pt x="256" y="294"/>
                  <a:pt x="247" y="300"/>
                  <a:pt x="236" y="305"/>
                </a:cubicBezTo>
                <a:lnTo>
                  <a:pt x="190" y="324"/>
                </a:lnTo>
                <a:cubicBezTo>
                  <a:pt x="183" y="327"/>
                  <a:pt x="179" y="329"/>
                  <a:pt x="178" y="330"/>
                </a:cubicBezTo>
                <a:cubicBezTo>
                  <a:pt x="176" y="331"/>
                  <a:pt x="174" y="333"/>
                  <a:pt x="169" y="336"/>
                </a:cubicBezTo>
                <a:lnTo>
                  <a:pt x="168" y="337"/>
                </a:lnTo>
                <a:lnTo>
                  <a:pt x="173" y="348"/>
                </a:lnTo>
                <a:cubicBezTo>
                  <a:pt x="174" y="351"/>
                  <a:pt x="174" y="353"/>
                  <a:pt x="171" y="354"/>
                </a:cubicBezTo>
                <a:lnTo>
                  <a:pt x="154" y="361"/>
                </a:lnTo>
                <a:close/>
                <a:moveTo>
                  <a:pt x="160" y="299"/>
                </a:moveTo>
                <a:lnTo>
                  <a:pt x="189" y="287"/>
                </a:lnTo>
                <a:lnTo>
                  <a:pt x="188" y="285"/>
                </a:lnTo>
                <a:cubicBezTo>
                  <a:pt x="185" y="277"/>
                  <a:pt x="182" y="271"/>
                  <a:pt x="180" y="268"/>
                </a:cubicBezTo>
                <a:cubicBezTo>
                  <a:pt x="178" y="265"/>
                  <a:pt x="176" y="263"/>
                  <a:pt x="173" y="260"/>
                </a:cubicBezTo>
                <a:cubicBezTo>
                  <a:pt x="170" y="258"/>
                  <a:pt x="167" y="257"/>
                  <a:pt x="163" y="256"/>
                </a:cubicBezTo>
                <a:cubicBezTo>
                  <a:pt x="159" y="255"/>
                  <a:pt x="156" y="256"/>
                  <a:pt x="152" y="258"/>
                </a:cubicBezTo>
                <a:cubicBezTo>
                  <a:pt x="146" y="260"/>
                  <a:pt x="143" y="263"/>
                  <a:pt x="141" y="268"/>
                </a:cubicBezTo>
                <a:cubicBezTo>
                  <a:pt x="139" y="273"/>
                  <a:pt x="139" y="278"/>
                  <a:pt x="141" y="283"/>
                </a:cubicBezTo>
                <a:cubicBezTo>
                  <a:pt x="142" y="286"/>
                  <a:pt x="144" y="289"/>
                  <a:pt x="146" y="291"/>
                </a:cubicBezTo>
                <a:cubicBezTo>
                  <a:pt x="149" y="294"/>
                  <a:pt x="153" y="296"/>
                  <a:pt x="160" y="299"/>
                </a:cubicBezTo>
                <a:close/>
                <a:moveTo>
                  <a:pt x="251" y="515"/>
                </a:moveTo>
                <a:cubicBezTo>
                  <a:pt x="249" y="516"/>
                  <a:pt x="248" y="517"/>
                  <a:pt x="248" y="516"/>
                </a:cubicBezTo>
                <a:cubicBezTo>
                  <a:pt x="247" y="516"/>
                  <a:pt x="246" y="515"/>
                  <a:pt x="245" y="514"/>
                </a:cubicBezTo>
                <a:lnTo>
                  <a:pt x="219" y="474"/>
                </a:lnTo>
                <a:cubicBezTo>
                  <a:pt x="218" y="472"/>
                  <a:pt x="218" y="470"/>
                  <a:pt x="220" y="468"/>
                </a:cubicBezTo>
                <a:lnTo>
                  <a:pt x="266" y="437"/>
                </a:lnTo>
                <a:lnTo>
                  <a:pt x="242" y="402"/>
                </a:lnTo>
                <a:lnTo>
                  <a:pt x="216" y="420"/>
                </a:lnTo>
                <a:lnTo>
                  <a:pt x="222" y="429"/>
                </a:lnTo>
                <a:cubicBezTo>
                  <a:pt x="224" y="432"/>
                  <a:pt x="223" y="434"/>
                  <a:pt x="221" y="435"/>
                </a:cubicBezTo>
                <a:lnTo>
                  <a:pt x="205" y="446"/>
                </a:lnTo>
                <a:cubicBezTo>
                  <a:pt x="204" y="447"/>
                  <a:pt x="203" y="447"/>
                  <a:pt x="202" y="447"/>
                </a:cubicBezTo>
                <a:cubicBezTo>
                  <a:pt x="202" y="447"/>
                  <a:pt x="201" y="446"/>
                  <a:pt x="200" y="445"/>
                </a:cubicBezTo>
                <a:lnTo>
                  <a:pt x="165" y="392"/>
                </a:lnTo>
                <a:cubicBezTo>
                  <a:pt x="164" y="389"/>
                  <a:pt x="164" y="387"/>
                  <a:pt x="166" y="386"/>
                </a:cubicBezTo>
                <a:lnTo>
                  <a:pt x="182" y="375"/>
                </a:lnTo>
                <a:cubicBezTo>
                  <a:pt x="184" y="374"/>
                  <a:pt x="186" y="374"/>
                  <a:pt x="187" y="376"/>
                </a:cubicBezTo>
                <a:lnTo>
                  <a:pt x="196" y="389"/>
                </a:lnTo>
                <a:lnTo>
                  <a:pt x="270" y="339"/>
                </a:lnTo>
                <a:lnTo>
                  <a:pt x="261" y="326"/>
                </a:lnTo>
                <a:cubicBezTo>
                  <a:pt x="260" y="324"/>
                  <a:pt x="260" y="322"/>
                  <a:pt x="262" y="320"/>
                </a:cubicBezTo>
                <a:lnTo>
                  <a:pt x="278" y="310"/>
                </a:lnTo>
                <a:cubicBezTo>
                  <a:pt x="280" y="308"/>
                  <a:pt x="282" y="309"/>
                  <a:pt x="284" y="311"/>
                </a:cubicBezTo>
                <a:lnTo>
                  <a:pt x="310" y="351"/>
                </a:lnTo>
                <a:cubicBezTo>
                  <a:pt x="312" y="353"/>
                  <a:pt x="311" y="355"/>
                  <a:pt x="309" y="357"/>
                </a:cubicBezTo>
                <a:lnTo>
                  <a:pt x="266" y="386"/>
                </a:lnTo>
                <a:lnTo>
                  <a:pt x="290" y="421"/>
                </a:lnTo>
                <a:lnTo>
                  <a:pt x="313" y="405"/>
                </a:lnTo>
                <a:lnTo>
                  <a:pt x="307" y="396"/>
                </a:lnTo>
                <a:cubicBezTo>
                  <a:pt x="305" y="393"/>
                  <a:pt x="306" y="391"/>
                  <a:pt x="308" y="390"/>
                </a:cubicBezTo>
                <a:lnTo>
                  <a:pt x="324" y="379"/>
                </a:lnTo>
                <a:cubicBezTo>
                  <a:pt x="326" y="378"/>
                  <a:pt x="328" y="378"/>
                  <a:pt x="329" y="380"/>
                </a:cubicBezTo>
                <a:lnTo>
                  <a:pt x="364" y="433"/>
                </a:lnTo>
                <a:cubicBezTo>
                  <a:pt x="366" y="436"/>
                  <a:pt x="365" y="438"/>
                  <a:pt x="363" y="439"/>
                </a:cubicBezTo>
                <a:lnTo>
                  <a:pt x="347" y="450"/>
                </a:lnTo>
                <a:cubicBezTo>
                  <a:pt x="346" y="451"/>
                  <a:pt x="345" y="451"/>
                  <a:pt x="344" y="451"/>
                </a:cubicBezTo>
                <a:cubicBezTo>
                  <a:pt x="343" y="451"/>
                  <a:pt x="343" y="450"/>
                  <a:pt x="342" y="449"/>
                </a:cubicBezTo>
                <a:lnTo>
                  <a:pt x="334" y="436"/>
                </a:lnTo>
                <a:lnTo>
                  <a:pt x="260" y="486"/>
                </a:lnTo>
                <a:lnTo>
                  <a:pt x="268" y="499"/>
                </a:lnTo>
                <a:cubicBezTo>
                  <a:pt x="269" y="501"/>
                  <a:pt x="269" y="503"/>
                  <a:pt x="267" y="504"/>
                </a:cubicBezTo>
                <a:lnTo>
                  <a:pt x="251" y="515"/>
                </a:lnTo>
                <a:close/>
                <a:moveTo>
                  <a:pt x="409" y="589"/>
                </a:moveTo>
                <a:cubicBezTo>
                  <a:pt x="406" y="592"/>
                  <a:pt x="404" y="593"/>
                  <a:pt x="403" y="594"/>
                </a:cubicBezTo>
                <a:cubicBezTo>
                  <a:pt x="402" y="595"/>
                  <a:pt x="400" y="593"/>
                  <a:pt x="397" y="591"/>
                </a:cubicBezTo>
                <a:lnTo>
                  <a:pt x="345" y="533"/>
                </a:lnTo>
                <a:cubicBezTo>
                  <a:pt x="336" y="541"/>
                  <a:pt x="331" y="548"/>
                  <a:pt x="330" y="556"/>
                </a:cubicBezTo>
                <a:cubicBezTo>
                  <a:pt x="329" y="564"/>
                  <a:pt x="332" y="573"/>
                  <a:pt x="340" y="581"/>
                </a:cubicBezTo>
                <a:cubicBezTo>
                  <a:pt x="343" y="585"/>
                  <a:pt x="347" y="589"/>
                  <a:pt x="350" y="591"/>
                </a:cubicBezTo>
                <a:cubicBezTo>
                  <a:pt x="354" y="593"/>
                  <a:pt x="358" y="596"/>
                  <a:pt x="364" y="598"/>
                </a:cubicBezTo>
                <a:lnTo>
                  <a:pt x="367" y="600"/>
                </a:lnTo>
                <a:lnTo>
                  <a:pt x="372" y="602"/>
                </a:lnTo>
                <a:cubicBezTo>
                  <a:pt x="373" y="603"/>
                  <a:pt x="373" y="605"/>
                  <a:pt x="372" y="606"/>
                </a:cubicBezTo>
                <a:lnTo>
                  <a:pt x="365" y="623"/>
                </a:lnTo>
                <a:lnTo>
                  <a:pt x="363" y="626"/>
                </a:lnTo>
                <a:cubicBezTo>
                  <a:pt x="362" y="627"/>
                  <a:pt x="359" y="627"/>
                  <a:pt x="355" y="627"/>
                </a:cubicBezTo>
                <a:cubicBezTo>
                  <a:pt x="349" y="625"/>
                  <a:pt x="342" y="622"/>
                  <a:pt x="335" y="617"/>
                </a:cubicBezTo>
                <a:cubicBezTo>
                  <a:pt x="328" y="612"/>
                  <a:pt x="321" y="606"/>
                  <a:pt x="316" y="600"/>
                </a:cubicBezTo>
                <a:cubicBezTo>
                  <a:pt x="309" y="593"/>
                  <a:pt x="304" y="585"/>
                  <a:pt x="300" y="578"/>
                </a:cubicBezTo>
                <a:cubicBezTo>
                  <a:pt x="297" y="570"/>
                  <a:pt x="296" y="562"/>
                  <a:pt x="296" y="554"/>
                </a:cubicBezTo>
                <a:cubicBezTo>
                  <a:pt x="297" y="546"/>
                  <a:pt x="299" y="537"/>
                  <a:pt x="303" y="530"/>
                </a:cubicBezTo>
                <a:cubicBezTo>
                  <a:pt x="307" y="520"/>
                  <a:pt x="315" y="510"/>
                  <a:pt x="324" y="501"/>
                </a:cubicBezTo>
                <a:cubicBezTo>
                  <a:pt x="334" y="492"/>
                  <a:pt x="343" y="485"/>
                  <a:pt x="352" y="481"/>
                </a:cubicBezTo>
                <a:cubicBezTo>
                  <a:pt x="361" y="477"/>
                  <a:pt x="371" y="474"/>
                  <a:pt x="381" y="474"/>
                </a:cubicBezTo>
                <a:cubicBezTo>
                  <a:pt x="389" y="474"/>
                  <a:pt x="397" y="475"/>
                  <a:pt x="403" y="477"/>
                </a:cubicBezTo>
                <a:cubicBezTo>
                  <a:pt x="412" y="480"/>
                  <a:pt x="419" y="486"/>
                  <a:pt x="426" y="493"/>
                </a:cubicBezTo>
                <a:cubicBezTo>
                  <a:pt x="436" y="505"/>
                  <a:pt x="442" y="517"/>
                  <a:pt x="442" y="530"/>
                </a:cubicBezTo>
                <a:cubicBezTo>
                  <a:pt x="441" y="549"/>
                  <a:pt x="431" y="569"/>
                  <a:pt x="409" y="589"/>
                </a:cubicBezTo>
                <a:close/>
                <a:moveTo>
                  <a:pt x="395" y="548"/>
                </a:moveTo>
                <a:lnTo>
                  <a:pt x="397" y="546"/>
                </a:lnTo>
                <a:cubicBezTo>
                  <a:pt x="401" y="543"/>
                  <a:pt x="403" y="540"/>
                  <a:pt x="405" y="537"/>
                </a:cubicBezTo>
                <a:cubicBezTo>
                  <a:pt x="409" y="531"/>
                  <a:pt x="411" y="526"/>
                  <a:pt x="410" y="522"/>
                </a:cubicBezTo>
                <a:cubicBezTo>
                  <a:pt x="409" y="517"/>
                  <a:pt x="407" y="513"/>
                  <a:pt x="405" y="510"/>
                </a:cubicBezTo>
                <a:cubicBezTo>
                  <a:pt x="402" y="507"/>
                  <a:pt x="399" y="505"/>
                  <a:pt x="397" y="504"/>
                </a:cubicBezTo>
                <a:cubicBezTo>
                  <a:pt x="394" y="503"/>
                  <a:pt x="391" y="503"/>
                  <a:pt x="387" y="503"/>
                </a:cubicBezTo>
                <a:cubicBezTo>
                  <a:pt x="384" y="503"/>
                  <a:pt x="380" y="504"/>
                  <a:pt x="376" y="506"/>
                </a:cubicBezTo>
                <a:cubicBezTo>
                  <a:pt x="372" y="508"/>
                  <a:pt x="368" y="511"/>
                  <a:pt x="364" y="514"/>
                </a:cubicBezTo>
                <a:lnTo>
                  <a:pt x="395" y="548"/>
                </a:lnTo>
                <a:close/>
                <a:moveTo>
                  <a:pt x="537" y="686"/>
                </a:moveTo>
                <a:cubicBezTo>
                  <a:pt x="528" y="699"/>
                  <a:pt x="520" y="708"/>
                  <a:pt x="513" y="713"/>
                </a:cubicBezTo>
                <a:cubicBezTo>
                  <a:pt x="507" y="719"/>
                  <a:pt x="500" y="723"/>
                  <a:pt x="492" y="726"/>
                </a:cubicBezTo>
                <a:cubicBezTo>
                  <a:pt x="484" y="729"/>
                  <a:pt x="475" y="730"/>
                  <a:pt x="467" y="727"/>
                </a:cubicBezTo>
                <a:cubicBezTo>
                  <a:pt x="461" y="726"/>
                  <a:pt x="454" y="722"/>
                  <a:pt x="447" y="717"/>
                </a:cubicBezTo>
                <a:cubicBezTo>
                  <a:pt x="439" y="711"/>
                  <a:pt x="433" y="703"/>
                  <a:pt x="428" y="694"/>
                </a:cubicBezTo>
                <a:lnTo>
                  <a:pt x="408" y="722"/>
                </a:lnTo>
                <a:lnTo>
                  <a:pt x="420" y="730"/>
                </a:lnTo>
                <a:cubicBezTo>
                  <a:pt x="422" y="732"/>
                  <a:pt x="422" y="734"/>
                  <a:pt x="421" y="736"/>
                </a:cubicBezTo>
                <a:lnTo>
                  <a:pt x="410" y="752"/>
                </a:lnTo>
                <a:cubicBezTo>
                  <a:pt x="409" y="753"/>
                  <a:pt x="408" y="754"/>
                  <a:pt x="407" y="754"/>
                </a:cubicBezTo>
                <a:cubicBezTo>
                  <a:pt x="406" y="754"/>
                  <a:pt x="405" y="754"/>
                  <a:pt x="404" y="752"/>
                </a:cubicBezTo>
                <a:lnTo>
                  <a:pt x="351" y="713"/>
                </a:lnTo>
                <a:cubicBezTo>
                  <a:pt x="349" y="711"/>
                  <a:pt x="348" y="709"/>
                  <a:pt x="350" y="707"/>
                </a:cubicBezTo>
                <a:lnTo>
                  <a:pt x="361" y="692"/>
                </a:lnTo>
                <a:cubicBezTo>
                  <a:pt x="363" y="689"/>
                  <a:pt x="364" y="689"/>
                  <a:pt x="367" y="691"/>
                </a:cubicBezTo>
                <a:lnTo>
                  <a:pt x="378" y="700"/>
                </a:lnTo>
                <a:lnTo>
                  <a:pt x="451" y="599"/>
                </a:lnTo>
                <a:lnTo>
                  <a:pt x="456" y="592"/>
                </a:lnTo>
                <a:cubicBezTo>
                  <a:pt x="459" y="588"/>
                  <a:pt x="461" y="585"/>
                  <a:pt x="462" y="583"/>
                </a:cubicBezTo>
                <a:cubicBezTo>
                  <a:pt x="463" y="580"/>
                  <a:pt x="463" y="579"/>
                  <a:pt x="463" y="577"/>
                </a:cubicBezTo>
                <a:lnTo>
                  <a:pt x="452" y="569"/>
                </a:lnTo>
                <a:cubicBezTo>
                  <a:pt x="450" y="567"/>
                  <a:pt x="450" y="565"/>
                  <a:pt x="451" y="563"/>
                </a:cubicBezTo>
                <a:lnTo>
                  <a:pt x="463" y="548"/>
                </a:lnTo>
                <a:cubicBezTo>
                  <a:pt x="464" y="545"/>
                  <a:pt x="466" y="545"/>
                  <a:pt x="468" y="547"/>
                </a:cubicBezTo>
                <a:lnTo>
                  <a:pt x="501" y="571"/>
                </a:lnTo>
                <a:cubicBezTo>
                  <a:pt x="502" y="572"/>
                  <a:pt x="503" y="573"/>
                  <a:pt x="503" y="575"/>
                </a:cubicBezTo>
                <a:cubicBezTo>
                  <a:pt x="504" y="576"/>
                  <a:pt x="503" y="578"/>
                  <a:pt x="502" y="581"/>
                </a:cubicBezTo>
                <a:lnTo>
                  <a:pt x="501" y="584"/>
                </a:lnTo>
                <a:lnTo>
                  <a:pt x="504" y="584"/>
                </a:lnTo>
                <a:cubicBezTo>
                  <a:pt x="510" y="584"/>
                  <a:pt x="516" y="585"/>
                  <a:pt x="521" y="585"/>
                </a:cubicBezTo>
                <a:cubicBezTo>
                  <a:pt x="528" y="587"/>
                  <a:pt x="535" y="590"/>
                  <a:pt x="541" y="595"/>
                </a:cubicBezTo>
                <a:cubicBezTo>
                  <a:pt x="552" y="603"/>
                  <a:pt x="558" y="613"/>
                  <a:pt x="559" y="626"/>
                </a:cubicBezTo>
                <a:cubicBezTo>
                  <a:pt x="561" y="643"/>
                  <a:pt x="554" y="663"/>
                  <a:pt x="537" y="686"/>
                </a:cubicBezTo>
                <a:close/>
                <a:moveTo>
                  <a:pt x="507" y="665"/>
                </a:moveTo>
                <a:cubicBezTo>
                  <a:pt x="515" y="653"/>
                  <a:pt x="520" y="645"/>
                  <a:pt x="522" y="638"/>
                </a:cubicBezTo>
                <a:cubicBezTo>
                  <a:pt x="526" y="627"/>
                  <a:pt x="524" y="618"/>
                  <a:pt x="516" y="612"/>
                </a:cubicBezTo>
                <a:cubicBezTo>
                  <a:pt x="512" y="610"/>
                  <a:pt x="509" y="608"/>
                  <a:pt x="505" y="607"/>
                </a:cubicBezTo>
                <a:cubicBezTo>
                  <a:pt x="501" y="606"/>
                  <a:pt x="496" y="607"/>
                  <a:pt x="490" y="607"/>
                </a:cubicBezTo>
                <a:lnTo>
                  <a:pt x="444" y="672"/>
                </a:lnTo>
                <a:cubicBezTo>
                  <a:pt x="446" y="676"/>
                  <a:pt x="448" y="679"/>
                  <a:pt x="450" y="682"/>
                </a:cubicBezTo>
                <a:cubicBezTo>
                  <a:pt x="452" y="684"/>
                  <a:pt x="455" y="686"/>
                  <a:pt x="457" y="688"/>
                </a:cubicBezTo>
                <a:cubicBezTo>
                  <a:pt x="461" y="691"/>
                  <a:pt x="464" y="693"/>
                  <a:pt x="467" y="693"/>
                </a:cubicBezTo>
                <a:cubicBezTo>
                  <a:pt x="469" y="694"/>
                  <a:pt x="473" y="694"/>
                  <a:pt x="476" y="693"/>
                </a:cubicBezTo>
                <a:cubicBezTo>
                  <a:pt x="481" y="692"/>
                  <a:pt x="486" y="689"/>
                  <a:pt x="491" y="684"/>
                </a:cubicBezTo>
                <a:cubicBezTo>
                  <a:pt x="496" y="679"/>
                  <a:pt x="501" y="672"/>
                  <a:pt x="507" y="665"/>
                </a:cubicBezTo>
                <a:close/>
                <a:moveTo>
                  <a:pt x="666" y="832"/>
                </a:moveTo>
                <a:cubicBezTo>
                  <a:pt x="665" y="834"/>
                  <a:pt x="665" y="835"/>
                  <a:pt x="664" y="835"/>
                </a:cubicBezTo>
                <a:cubicBezTo>
                  <a:pt x="663" y="835"/>
                  <a:pt x="662" y="835"/>
                  <a:pt x="661" y="834"/>
                </a:cubicBezTo>
                <a:lnTo>
                  <a:pt x="618" y="813"/>
                </a:lnTo>
                <a:cubicBezTo>
                  <a:pt x="616" y="811"/>
                  <a:pt x="615" y="809"/>
                  <a:pt x="616" y="807"/>
                </a:cubicBezTo>
                <a:lnTo>
                  <a:pt x="640" y="757"/>
                </a:lnTo>
                <a:lnTo>
                  <a:pt x="603" y="738"/>
                </a:lnTo>
                <a:lnTo>
                  <a:pt x="589" y="767"/>
                </a:lnTo>
                <a:lnTo>
                  <a:pt x="599" y="772"/>
                </a:lnTo>
                <a:cubicBezTo>
                  <a:pt x="601" y="774"/>
                  <a:pt x="602" y="775"/>
                  <a:pt x="601" y="778"/>
                </a:cubicBezTo>
                <a:lnTo>
                  <a:pt x="592" y="795"/>
                </a:lnTo>
                <a:cubicBezTo>
                  <a:pt x="592" y="797"/>
                  <a:pt x="591" y="798"/>
                  <a:pt x="590" y="798"/>
                </a:cubicBezTo>
                <a:cubicBezTo>
                  <a:pt x="590" y="798"/>
                  <a:pt x="589" y="798"/>
                  <a:pt x="587" y="797"/>
                </a:cubicBezTo>
                <a:lnTo>
                  <a:pt x="531" y="769"/>
                </a:lnTo>
                <a:cubicBezTo>
                  <a:pt x="528" y="768"/>
                  <a:pt x="528" y="766"/>
                  <a:pt x="529" y="763"/>
                </a:cubicBezTo>
                <a:lnTo>
                  <a:pt x="537" y="746"/>
                </a:lnTo>
                <a:cubicBezTo>
                  <a:pt x="539" y="744"/>
                  <a:pt x="540" y="743"/>
                  <a:pt x="543" y="744"/>
                </a:cubicBezTo>
                <a:lnTo>
                  <a:pt x="556" y="751"/>
                </a:lnTo>
                <a:lnTo>
                  <a:pt x="595" y="670"/>
                </a:lnTo>
                <a:lnTo>
                  <a:pt x="582" y="663"/>
                </a:lnTo>
                <a:cubicBezTo>
                  <a:pt x="580" y="662"/>
                  <a:pt x="579" y="660"/>
                  <a:pt x="580" y="658"/>
                </a:cubicBezTo>
                <a:lnTo>
                  <a:pt x="589" y="641"/>
                </a:lnTo>
                <a:cubicBezTo>
                  <a:pt x="590" y="638"/>
                  <a:pt x="592" y="637"/>
                  <a:pt x="594" y="639"/>
                </a:cubicBezTo>
                <a:lnTo>
                  <a:pt x="636" y="660"/>
                </a:lnTo>
                <a:cubicBezTo>
                  <a:pt x="639" y="661"/>
                  <a:pt x="640" y="663"/>
                  <a:pt x="638" y="665"/>
                </a:cubicBezTo>
                <a:lnTo>
                  <a:pt x="616" y="712"/>
                </a:lnTo>
                <a:lnTo>
                  <a:pt x="653" y="731"/>
                </a:lnTo>
                <a:lnTo>
                  <a:pt x="666" y="705"/>
                </a:lnTo>
                <a:lnTo>
                  <a:pt x="656" y="700"/>
                </a:lnTo>
                <a:cubicBezTo>
                  <a:pt x="653" y="699"/>
                  <a:pt x="653" y="697"/>
                  <a:pt x="654" y="695"/>
                </a:cubicBezTo>
                <a:lnTo>
                  <a:pt x="662" y="677"/>
                </a:lnTo>
                <a:cubicBezTo>
                  <a:pt x="663" y="675"/>
                  <a:pt x="665" y="674"/>
                  <a:pt x="668" y="676"/>
                </a:cubicBezTo>
                <a:lnTo>
                  <a:pt x="724" y="704"/>
                </a:lnTo>
                <a:cubicBezTo>
                  <a:pt x="726" y="705"/>
                  <a:pt x="727" y="707"/>
                  <a:pt x="726" y="709"/>
                </a:cubicBezTo>
                <a:lnTo>
                  <a:pt x="717" y="726"/>
                </a:lnTo>
                <a:cubicBezTo>
                  <a:pt x="716" y="728"/>
                  <a:pt x="716" y="729"/>
                  <a:pt x="715" y="729"/>
                </a:cubicBezTo>
                <a:cubicBezTo>
                  <a:pt x="715" y="729"/>
                  <a:pt x="713" y="729"/>
                  <a:pt x="712" y="728"/>
                </a:cubicBezTo>
                <a:lnTo>
                  <a:pt x="699" y="722"/>
                </a:lnTo>
                <a:lnTo>
                  <a:pt x="659" y="803"/>
                </a:lnTo>
                <a:lnTo>
                  <a:pt x="673" y="809"/>
                </a:lnTo>
                <a:cubicBezTo>
                  <a:pt x="675" y="811"/>
                  <a:pt x="676" y="812"/>
                  <a:pt x="674" y="815"/>
                </a:cubicBezTo>
                <a:lnTo>
                  <a:pt x="666" y="832"/>
                </a:lnTo>
                <a:close/>
                <a:moveTo>
                  <a:pt x="898" y="901"/>
                </a:moveTo>
                <a:cubicBezTo>
                  <a:pt x="898" y="903"/>
                  <a:pt x="897" y="904"/>
                  <a:pt x="896" y="904"/>
                </a:cubicBezTo>
                <a:cubicBezTo>
                  <a:pt x="896" y="904"/>
                  <a:pt x="895" y="904"/>
                  <a:pt x="893" y="904"/>
                </a:cubicBezTo>
                <a:lnTo>
                  <a:pt x="847" y="891"/>
                </a:lnTo>
                <a:cubicBezTo>
                  <a:pt x="845" y="890"/>
                  <a:pt x="844" y="889"/>
                  <a:pt x="845" y="886"/>
                </a:cubicBezTo>
                <a:lnTo>
                  <a:pt x="874" y="776"/>
                </a:lnTo>
                <a:lnTo>
                  <a:pt x="856" y="771"/>
                </a:lnTo>
                <a:cubicBezTo>
                  <a:pt x="853" y="771"/>
                  <a:pt x="852" y="769"/>
                  <a:pt x="853" y="766"/>
                </a:cubicBezTo>
                <a:lnTo>
                  <a:pt x="858" y="748"/>
                </a:lnTo>
                <a:cubicBezTo>
                  <a:pt x="859" y="745"/>
                  <a:pt x="860" y="744"/>
                  <a:pt x="863" y="745"/>
                </a:cubicBezTo>
                <a:lnTo>
                  <a:pt x="931" y="764"/>
                </a:lnTo>
                <a:cubicBezTo>
                  <a:pt x="933" y="764"/>
                  <a:pt x="934" y="766"/>
                  <a:pt x="933" y="769"/>
                </a:cubicBezTo>
                <a:lnTo>
                  <a:pt x="929" y="787"/>
                </a:lnTo>
                <a:cubicBezTo>
                  <a:pt x="928" y="789"/>
                  <a:pt x="928" y="790"/>
                  <a:pt x="927" y="790"/>
                </a:cubicBezTo>
                <a:cubicBezTo>
                  <a:pt x="926" y="791"/>
                  <a:pt x="925" y="791"/>
                  <a:pt x="924" y="790"/>
                </a:cubicBezTo>
                <a:lnTo>
                  <a:pt x="909" y="786"/>
                </a:lnTo>
                <a:lnTo>
                  <a:pt x="886" y="873"/>
                </a:lnTo>
                <a:lnTo>
                  <a:pt x="900" y="877"/>
                </a:lnTo>
                <a:cubicBezTo>
                  <a:pt x="903" y="878"/>
                  <a:pt x="904" y="880"/>
                  <a:pt x="903" y="882"/>
                </a:cubicBezTo>
                <a:lnTo>
                  <a:pt x="898" y="901"/>
                </a:lnTo>
                <a:close/>
                <a:moveTo>
                  <a:pt x="839" y="839"/>
                </a:moveTo>
                <a:cubicBezTo>
                  <a:pt x="837" y="846"/>
                  <a:pt x="835" y="851"/>
                  <a:pt x="832" y="856"/>
                </a:cubicBezTo>
                <a:cubicBezTo>
                  <a:pt x="828" y="862"/>
                  <a:pt x="822" y="867"/>
                  <a:pt x="815" y="870"/>
                </a:cubicBezTo>
                <a:cubicBezTo>
                  <a:pt x="810" y="872"/>
                  <a:pt x="803" y="873"/>
                  <a:pt x="796" y="874"/>
                </a:cubicBezTo>
                <a:cubicBezTo>
                  <a:pt x="788" y="874"/>
                  <a:pt x="778" y="872"/>
                  <a:pt x="765" y="868"/>
                </a:cubicBezTo>
                <a:lnTo>
                  <a:pt x="704" y="851"/>
                </a:lnTo>
                <a:cubicBezTo>
                  <a:pt x="702" y="851"/>
                  <a:pt x="701" y="849"/>
                  <a:pt x="701" y="846"/>
                </a:cubicBezTo>
                <a:lnTo>
                  <a:pt x="706" y="828"/>
                </a:lnTo>
                <a:cubicBezTo>
                  <a:pt x="707" y="826"/>
                  <a:pt x="707" y="825"/>
                  <a:pt x="708" y="825"/>
                </a:cubicBezTo>
                <a:cubicBezTo>
                  <a:pt x="708" y="824"/>
                  <a:pt x="710" y="825"/>
                  <a:pt x="711" y="825"/>
                </a:cubicBezTo>
                <a:lnTo>
                  <a:pt x="725" y="829"/>
                </a:lnTo>
                <a:lnTo>
                  <a:pt x="749" y="742"/>
                </a:lnTo>
                <a:lnTo>
                  <a:pt x="735" y="738"/>
                </a:lnTo>
                <a:cubicBezTo>
                  <a:pt x="732" y="737"/>
                  <a:pt x="731" y="735"/>
                  <a:pt x="732" y="733"/>
                </a:cubicBezTo>
                <a:lnTo>
                  <a:pt x="737" y="714"/>
                </a:lnTo>
                <a:cubicBezTo>
                  <a:pt x="737" y="712"/>
                  <a:pt x="739" y="711"/>
                  <a:pt x="742" y="711"/>
                </a:cubicBezTo>
                <a:lnTo>
                  <a:pt x="787" y="724"/>
                </a:lnTo>
                <a:cubicBezTo>
                  <a:pt x="790" y="725"/>
                  <a:pt x="791" y="726"/>
                  <a:pt x="790" y="729"/>
                </a:cubicBezTo>
                <a:lnTo>
                  <a:pt x="778" y="774"/>
                </a:lnTo>
                <a:lnTo>
                  <a:pt x="794" y="778"/>
                </a:lnTo>
                <a:cubicBezTo>
                  <a:pt x="804" y="781"/>
                  <a:pt x="813" y="784"/>
                  <a:pt x="819" y="787"/>
                </a:cubicBezTo>
                <a:cubicBezTo>
                  <a:pt x="825" y="790"/>
                  <a:pt x="830" y="795"/>
                  <a:pt x="835" y="802"/>
                </a:cubicBezTo>
                <a:cubicBezTo>
                  <a:pt x="838" y="807"/>
                  <a:pt x="841" y="813"/>
                  <a:pt x="841" y="819"/>
                </a:cubicBezTo>
                <a:cubicBezTo>
                  <a:pt x="842" y="826"/>
                  <a:pt x="841" y="832"/>
                  <a:pt x="839" y="839"/>
                </a:cubicBezTo>
                <a:close/>
                <a:moveTo>
                  <a:pt x="804" y="830"/>
                </a:moveTo>
                <a:cubicBezTo>
                  <a:pt x="805" y="823"/>
                  <a:pt x="804" y="818"/>
                  <a:pt x="800" y="814"/>
                </a:cubicBezTo>
                <a:cubicBezTo>
                  <a:pt x="798" y="811"/>
                  <a:pt x="795" y="809"/>
                  <a:pt x="790" y="808"/>
                </a:cubicBezTo>
                <a:lnTo>
                  <a:pt x="771" y="802"/>
                </a:lnTo>
                <a:lnTo>
                  <a:pt x="761" y="837"/>
                </a:lnTo>
                <a:lnTo>
                  <a:pt x="778" y="841"/>
                </a:lnTo>
                <a:cubicBezTo>
                  <a:pt x="786" y="843"/>
                  <a:pt x="791" y="843"/>
                  <a:pt x="795" y="841"/>
                </a:cubicBezTo>
                <a:cubicBezTo>
                  <a:pt x="799" y="839"/>
                  <a:pt x="802" y="836"/>
                  <a:pt x="804" y="830"/>
                </a:cubicBezTo>
                <a:close/>
                <a:moveTo>
                  <a:pt x="1052" y="702"/>
                </a:moveTo>
                <a:cubicBezTo>
                  <a:pt x="1052" y="705"/>
                  <a:pt x="1051" y="708"/>
                  <a:pt x="1050" y="712"/>
                </a:cubicBezTo>
                <a:cubicBezTo>
                  <a:pt x="1047" y="720"/>
                  <a:pt x="1042" y="726"/>
                  <a:pt x="1035" y="731"/>
                </a:cubicBezTo>
                <a:cubicBezTo>
                  <a:pt x="1028" y="735"/>
                  <a:pt x="1020" y="738"/>
                  <a:pt x="1011" y="737"/>
                </a:cubicBezTo>
                <a:cubicBezTo>
                  <a:pt x="1002" y="737"/>
                  <a:pt x="995" y="735"/>
                  <a:pt x="988" y="732"/>
                </a:cubicBezTo>
                <a:cubicBezTo>
                  <a:pt x="980" y="727"/>
                  <a:pt x="975" y="720"/>
                  <a:pt x="972" y="711"/>
                </a:cubicBezTo>
                <a:cubicBezTo>
                  <a:pt x="970" y="708"/>
                  <a:pt x="970" y="704"/>
                  <a:pt x="970" y="701"/>
                </a:cubicBezTo>
                <a:cubicBezTo>
                  <a:pt x="970" y="698"/>
                  <a:pt x="971" y="697"/>
                  <a:pt x="972" y="697"/>
                </a:cubicBezTo>
                <a:lnTo>
                  <a:pt x="990" y="694"/>
                </a:lnTo>
                <a:lnTo>
                  <a:pt x="992" y="694"/>
                </a:lnTo>
                <a:cubicBezTo>
                  <a:pt x="993" y="694"/>
                  <a:pt x="994" y="694"/>
                  <a:pt x="994" y="695"/>
                </a:cubicBezTo>
                <a:cubicBezTo>
                  <a:pt x="995" y="696"/>
                  <a:pt x="995" y="698"/>
                  <a:pt x="996" y="701"/>
                </a:cubicBezTo>
                <a:cubicBezTo>
                  <a:pt x="998" y="709"/>
                  <a:pt x="1003" y="713"/>
                  <a:pt x="1010" y="713"/>
                </a:cubicBezTo>
                <a:cubicBezTo>
                  <a:pt x="1015" y="713"/>
                  <a:pt x="1019" y="712"/>
                  <a:pt x="1021" y="709"/>
                </a:cubicBezTo>
                <a:cubicBezTo>
                  <a:pt x="1023" y="707"/>
                  <a:pt x="1025" y="704"/>
                  <a:pt x="1026" y="701"/>
                </a:cubicBezTo>
                <a:cubicBezTo>
                  <a:pt x="1026" y="700"/>
                  <a:pt x="1026" y="699"/>
                  <a:pt x="1027" y="698"/>
                </a:cubicBezTo>
                <a:cubicBezTo>
                  <a:pt x="1027" y="696"/>
                  <a:pt x="1027" y="695"/>
                  <a:pt x="1028" y="695"/>
                </a:cubicBezTo>
                <a:cubicBezTo>
                  <a:pt x="1029" y="694"/>
                  <a:pt x="1030" y="694"/>
                  <a:pt x="1032" y="694"/>
                </a:cubicBezTo>
                <a:lnTo>
                  <a:pt x="1049" y="697"/>
                </a:lnTo>
                <a:cubicBezTo>
                  <a:pt x="1051" y="697"/>
                  <a:pt x="1052" y="698"/>
                  <a:pt x="1052" y="702"/>
                </a:cubicBezTo>
                <a:close/>
                <a:moveTo>
                  <a:pt x="1087" y="902"/>
                </a:moveTo>
                <a:cubicBezTo>
                  <a:pt x="1087" y="904"/>
                  <a:pt x="1087" y="905"/>
                  <a:pt x="1087" y="906"/>
                </a:cubicBezTo>
                <a:cubicBezTo>
                  <a:pt x="1086" y="906"/>
                  <a:pt x="1085" y="906"/>
                  <a:pt x="1083" y="906"/>
                </a:cubicBezTo>
                <a:lnTo>
                  <a:pt x="1036" y="906"/>
                </a:lnTo>
                <a:cubicBezTo>
                  <a:pt x="1033" y="906"/>
                  <a:pt x="1032" y="905"/>
                  <a:pt x="1032" y="902"/>
                </a:cubicBezTo>
                <a:lnTo>
                  <a:pt x="1032" y="852"/>
                </a:lnTo>
                <a:cubicBezTo>
                  <a:pt x="1032" y="848"/>
                  <a:pt x="1032" y="842"/>
                  <a:pt x="1033" y="834"/>
                </a:cubicBezTo>
                <a:cubicBezTo>
                  <a:pt x="1033" y="825"/>
                  <a:pt x="1033" y="819"/>
                  <a:pt x="1033" y="816"/>
                </a:cubicBezTo>
                <a:lnTo>
                  <a:pt x="1032" y="816"/>
                </a:lnTo>
                <a:lnTo>
                  <a:pt x="1023" y="838"/>
                </a:lnTo>
                <a:lnTo>
                  <a:pt x="988" y="902"/>
                </a:lnTo>
                <a:cubicBezTo>
                  <a:pt x="987" y="905"/>
                  <a:pt x="985" y="906"/>
                  <a:pt x="983" y="906"/>
                </a:cubicBezTo>
                <a:lnTo>
                  <a:pt x="956" y="906"/>
                </a:lnTo>
                <a:cubicBezTo>
                  <a:pt x="953" y="906"/>
                  <a:pt x="952" y="904"/>
                  <a:pt x="952" y="902"/>
                </a:cubicBezTo>
                <a:lnTo>
                  <a:pt x="952" y="788"/>
                </a:lnTo>
                <a:lnTo>
                  <a:pt x="937" y="788"/>
                </a:lnTo>
                <a:cubicBezTo>
                  <a:pt x="935" y="788"/>
                  <a:pt x="933" y="787"/>
                  <a:pt x="933" y="784"/>
                </a:cubicBezTo>
                <a:lnTo>
                  <a:pt x="933" y="765"/>
                </a:lnTo>
                <a:cubicBezTo>
                  <a:pt x="933" y="762"/>
                  <a:pt x="935" y="761"/>
                  <a:pt x="937" y="761"/>
                </a:cubicBezTo>
                <a:lnTo>
                  <a:pt x="985" y="761"/>
                </a:lnTo>
                <a:cubicBezTo>
                  <a:pt x="988" y="761"/>
                  <a:pt x="989" y="762"/>
                  <a:pt x="989" y="765"/>
                </a:cubicBezTo>
                <a:lnTo>
                  <a:pt x="989" y="815"/>
                </a:lnTo>
                <a:cubicBezTo>
                  <a:pt x="989" y="819"/>
                  <a:pt x="988" y="825"/>
                  <a:pt x="988" y="833"/>
                </a:cubicBezTo>
                <a:cubicBezTo>
                  <a:pt x="988" y="842"/>
                  <a:pt x="987" y="848"/>
                  <a:pt x="987" y="851"/>
                </a:cubicBezTo>
                <a:lnTo>
                  <a:pt x="989" y="851"/>
                </a:lnTo>
                <a:lnTo>
                  <a:pt x="998" y="829"/>
                </a:lnTo>
                <a:lnTo>
                  <a:pt x="1033" y="765"/>
                </a:lnTo>
                <a:cubicBezTo>
                  <a:pt x="1034" y="762"/>
                  <a:pt x="1036" y="761"/>
                  <a:pt x="1038" y="761"/>
                </a:cubicBezTo>
                <a:lnTo>
                  <a:pt x="1065" y="761"/>
                </a:lnTo>
                <a:cubicBezTo>
                  <a:pt x="1068" y="761"/>
                  <a:pt x="1069" y="763"/>
                  <a:pt x="1069" y="765"/>
                </a:cubicBezTo>
                <a:lnTo>
                  <a:pt x="1069" y="879"/>
                </a:lnTo>
                <a:lnTo>
                  <a:pt x="1083" y="879"/>
                </a:lnTo>
                <a:cubicBezTo>
                  <a:pt x="1086" y="879"/>
                  <a:pt x="1087" y="880"/>
                  <a:pt x="1087" y="883"/>
                </a:cubicBezTo>
                <a:lnTo>
                  <a:pt x="1087" y="902"/>
                </a:lnTo>
                <a:close/>
                <a:moveTo>
                  <a:pt x="1362" y="848"/>
                </a:moveTo>
                <a:cubicBezTo>
                  <a:pt x="1363" y="851"/>
                  <a:pt x="1363" y="853"/>
                  <a:pt x="1361" y="854"/>
                </a:cubicBezTo>
                <a:cubicBezTo>
                  <a:pt x="1361" y="855"/>
                  <a:pt x="1360" y="855"/>
                  <a:pt x="1358" y="856"/>
                </a:cubicBezTo>
                <a:lnTo>
                  <a:pt x="1320" y="867"/>
                </a:lnTo>
                <a:cubicBezTo>
                  <a:pt x="1317" y="867"/>
                  <a:pt x="1315" y="867"/>
                  <a:pt x="1315" y="867"/>
                </a:cubicBezTo>
                <a:cubicBezTo>
                  <a:pt x="1314" y="866"/>
                  <a:pt x="1313" y="865"/>
                  <a:pt x="1312" y="862"/>
                </a:cubicBezTo>
                <a:lnTo>
                  <a:pt x="1295" y="810"/>
                </a:lnTo>
                <a:lnTo>
                  <a:pt x="1286" y="777"/>
                </a:lnTo>
                <a:cubicBezTo>
                  <a:pt x="1286" y="782"/>
                  <a:pt x="1286" y="787"/>
                  <a:pt x="1286" y="793"/>
                </a:cubicBezTo>
                <a:cubicBezTo>
                  <a:pt x="1286" y="798"/>
                  <a:pt x="1286" y="802"/>
                  <a:pt x="1285" y="806"/>
                </a:cubicBezTo>
                <a:lnTo>
                  <a:pt x="1282" y="850"/>
                </a:lnTo>
                <a:cubicBezTo>
                  <a:pt x="1282" y="852"/>
                  <a:pt x="1281" y="853"/>
                  <a:pt x="1280" y="854"/>
                </a:cubicBezTo>
                <a:cubicBezTo>
                  <a:pt x="1279" y="854"/>
                  <a:pt x="1278" y="854"/>
                  <a:pt x="1277" y="855"/>
                </a:cubicBezTo>
                <a:lnTo>
                  <a:pt x="1264" y="859"/>
                </a:lnTo>
                <a:cubicBezTo>
                  <a:pt x="1262" y="859"/>
                  <a:pt x="1261" y="859"/>
                  <a:pt x="1261" y="859"/>
                </a:cubicBezTo>
                <a:cubicBezTo>
                  <a:pt x="1260" y="859"/>
                  <a:pt x="1259" y="859"/>
                  <a:pt x="1257" y="857"/>
                </a:cubicBezTo>
                <a:lnTo>
                  <a:pt x="1232" y="821"/>
                </a:lnTo>
                <a:cubicBezTo>
                  <a:pt x="1230" y="819"/>
                  <a:pt x="1227" y="815"/>
                  <a:pt x="1224" y="810"/>
                </a:cubicBezTo>
                <a:cubicBezTo>
                  <a:pt x="1221" y="805"/>
                  <a:pt x="1219" y="801"/>
                  <a:pt x="1217" y="797"/>
                </a:cubicBezTo>
                <a:lnTo>
                  <a:pt x="1225" y="830"/>
                </a:lnTo>
                <a:lnTo>
                  <a:pt x="1238" y="884"/>
                </a:lnTo>
                <a:cubicBezTo>
                  <a:pt x="1239" y="887"/>
                  <a:pt x="1239" y="889"/>
                  <a:pt x="1238" y="890"/>
                </a:cubicBezTo>
                <a:cubicBezTo>
                  <a:pt x="1237" y="890"/>
                  <a:pt x="1236" y="891"/>
                  <a:pt x="1234" y="891"/>
                </a:cubicBezTo>
                <a:lnTo>
                  <a:pt x="1196" y="902"/>
                </a:lnTo>
                <a:cubicBezTo>
                  <a:pt x="1192" y="903"/>
                  <a:pt x="1189" y="902"/>
                  <a:pt x="1188" y="898"/>
                </a:cubicBezTo>
                <a:lnTo>
                  <a:pt x="1184" y="883"/>
                </a:lnTo>
                <a:cubicBezTo>
                  <a:pt x="1183" y="880"/>
                  <a:pt x="1183" y="878"/>
                  <a:pt x="1184" y="878"/>
                </a:cubicBezTo>
                <a:cubicBezTo>
                  <a:pt x="1185" y="877"/>
                  <a:pt x="1186" y="876"/>
                  <a:pt x="1189" y="876"/>
                </a:cubicBezTo>
                <a:lnTo>
                  <a:pt x="1201" y="872"/>
                </a:lnTo>
                <a:lnTo>
                  <a:pt x="1182" y="784"/>
                </a:lnTo>
                <a:lnTo>
                  <a:pt x="1167" y="788"/>
                </a:lnTo>
                <a:cubicBezTo>
                  <a:pt x="1165" y="789"/>
                  <a:pt x="1163" y="788"/>
                  <a:pt x="1162" y="785"/>
                </a:cubicBezTo>
                <a:lnTo>
                  <a:pt x="1157" y="767"/>
                </a:lnTo>
                <a:cubicBezTo>
                  <a:pt x="1157" y="764"/>
                  <a:pt x="1158" y="762"/>
                  <a:pt x="1160" y="762"/>
                </a:cubicBezTo>
                <a:lnTo>
                  <a:pt x="1204" y="749"/>
                </a:lnTo>
                <a:cubicBezTo>
                  <a:pt x="1206" y="748"/>
                  <a:pt x="1208" y="749"/>
                  <a:pt x="1209" y="751"/>
                </a:cubicBezTo>
                <a:lnTo>
                  <a:pt x="1244" y="796"/>
                </a:lnTo>
                <a:cubicBezTo>
                  <a:pt x="1246" y="798"/>
                  <a:pt x="1248" y="801"/>
                  <a:pt x="1250" y="804"/>
                </a:cubicBezTo>
                <a:cubicBezTo>
                  <a:pt x="1252" y="808"/>
                  <a:pt x="1255" y="813"/>
                  <a:pt x="1260" y="821"/>
                </a:cubicBezTo>
                <a:lnTo>
                  <a:pt x="1261" y="821"/>
                </a:lnTo>
                <a:cubicBezTo>
                  <a:pt x="1261" y="812"/>
                  <a:pt x="1261" y="806"/>
                  <a:pt x="1262" y="801"/>
                </a:cubicBezTo>
                <a:cubicBezTo>
                  <a:pt x="1262" y="796"/>
                  <a:pt x="1262" y="793"/>
                  <a:pt x="1262" y="791"/>
                </a:cubicBezTo>
                <a:lnTo>
                  <a:pt x="1269" y="734"/>
                </a:lnTo>
                <a:cubicBezTo>
                  <a:pt x="1269" y="732"/>
                  <a:pt x="1269" y="731"/>
                  <a:pt x="1269" y="731"/>
                </a:cubicBezTo>
                <a:cubicBezTo>
                  <a:pt x="1270" y="730"/>
                  <a:pt x="1271" y="730"/>
                  <a:pt x="1272" y="729"/>
                </a:cubicBezTo>
                <a:lnTo>
                  <a:pt x="1316" y="717"/>
                </a:lnTo>
                <a:cubicBezTo>
                  <a:pt x="1318" y="716"/>
                  <a:pt x="1320" y="717"/>
                  <a:pt x="1321" y="720"/>
                </a:cubicBezTo>
                <a:lnTo>
                  <a:pt x="1326" y="738"/>
                </a:lnTo>
                <a:cubicBezTo>
                  <a:pt x="1327" y="741"/>
                  <a:pt x="1326" y="742"/>
                  <a:pt x="1323" y="743"/>
                </a:cubicBezTo>
                <a:lnTo>
                  <a:pt x="1309" y="747"/>
                </a:lnTo>
                <a:lnTo>
                  <a:pt x="1338" y="833"/>
                </a:lnTo>
                <a:lnTo>
                  <a:pt x="1350" y="829"/>
                </a:lnTo>
                <a:cubicBezTo>
                  <a:pt x="1354" y="828"/>
                  <a:pt x="1357" y="830"/>
                  <a:pt x="1358" y="834"/>
                </a:cubicBezTo>
                <a:lnTo>
                  <a:pt x="1362" y="848"/>
                </a:lnTo>
                <a:close/>
                <a:moveTo>
                  <a:pt x="1533" y="770"/>
                </a:moveTo>
                <a:cubicBezTo>
                  <a:pt x="1534" y="772"/>
                  <a:pt x="1534" y="773"/>
                  <a:pt x="1534" y="774"/>
                </a:cubicBezTo>
                <a:cubicBezTo>
                  <a:pt x="1534" y="774"/>
                  <a:pt x="1533" y="775"/>
                  <a:pt x="1531" y="776"/>
                </a:cubicBezTo>
                <a:lnTo>
                  <a:pt x="1489" y="797"/>
                </a:lnTo>
                <a:cubicBezTo>
                  <a:pt x="1486" y="798"/>
                  <a:pt x="1485" y="798"/>
                  <a:pt x="1483" y="795"/>
                </a:cubicBezTo>
                <a:lnTo>
                  <a:pt x="1461" y="751"/>
                </a:lnTo>
                <a:cubicBezTo>
                  <a:pt x="1460" y="747"/>
                  <a:pt x="1457" y="742"/>
                  <a:pt x="1454" y="734"/>
                </a:cubicBezTo>
                <a:cubicBezTo>
                  <a:pt x="1450" y="726"/>
                  <a:pt x="1448" y="721"/>
                  <a:pt x="1446" y="718"/>
                </a:cubicBezTo>
                <a:lnTo>
                  <a:pt x="1445" y="718"/>
                </a:lnTo>
                <a:lnTo>
                  <a:pt x="1447" y="742"/>
                </a:lnTo>
                <a:lnTo>
                  <a:pt x="1445" y="815"/>
                </a:lnTo>
                <a:cubicBezTo>
                  <a:pt x="1444" y="819"/>
                  <a:pt x="1443" y="821"/>
                  <a:pt x="1441" y="822"/>
                </a:cubicBezTo>
                <a:lnTo>
                  <a:pt x="1417" y="834"/>
                </a:lnTo>
                <a:cubicBezTo>
                  <a:pt x="1415" y="835"/>
                  <a:pt x="1413" y="835"/>
                  <a:pt x="1412" y="832"/>
                </a:cubicBezTo>
                <a:lnTo>
                  <a:pt x="1361" y="731"/>
                </a:lnTo>
                <a:lnTo>
                  <a:pt x="1348" y="737"/>
                </a:lnTo>
                <a:cubicBezTo>
                  <a:pt x="1346" y="739"/>
                  <a:pt x="1344" y="738"/>
                  <a:pt x="1343" y="736"/>
                </a:cubicBezTo>
                <a:lnTo>
                  <a:pt x="1334" y="719"/>
                </a:lnTo>
                <a:cubicBezTo>
                  <a:pt x="1333" y="716"/>
                  <a:pt x="1334" y="714"/>
                  <a:pt x="1336" y="713"/>
                </a:cubicBezTo>
                <a:lnTo>
                  <a:pt x="1378" y="691"/>
                </a:lnTo>
                <a:cubicBezTo>
                  <a:pt x="1381" y="690"/>
                  <a:pt x="1383" y="691"/>
                  <a:pt x="1384" y="693"/>
                </a:cubicBezTo>
                <a:lnTo>
                  <a:pt x="1406" y="738"/>
                </a:lnTo>
                <a:cubicBezTo>
                  <a:pt x="1408" y="741"/>
                  <a:pt x="1410" y="747"/>
                  <a:pt x="1414" y="755"/>
                </a:cubicBezTo>
                <a:cubicBezTo>
                  <a:pt x="1417" y="762"/>
                  <a:pt x="1420" y="768"/>
                  <a:pt x="1421" y="771"/>
                </a:cubicBezTo>
                <a:lnTo>
                  <a:pt x="1422" y="770"/>
                </a:lnTo>
                <a:lnTo>
                  <a:pt x="1421" y="746"/>
                </a:lnTo>
                <a:lnTo>
                  <a:pt x="1423" y="673"/>
                </a:lnTo>
                <a:cubicBezTo>
                  <a:pt x="1423" y="670"/>
                  <a:pt x="1424" y="668"/>
                  <a:pt x="1426" y="667"/>
                </a:cubicBezTo>
                <a:lnTo>
                  <a:pt x="1450" y="655"/>
                </a:lnTo>
                <a:cubicBezTo>
                  <a:pt x="1453" y="653"/>
                  <a:pt x="1454" y="654"/>
                  <a:pt x="1456" y="656"/>
                </a:cubicBezTo>
                <a:lnTo>
                  <a:pt x="1506" y="758"/>
                </a:lnTo>
                <a:lnTo>
                  <a:pt x="1519" y="751"/>
                </a:lnTo>
                <a:cubicBezTo>
                  <a:pt x="1522" y="750"/>
                  <a:pt x="1523" y="751"/>
                  <a:pt x="1525" y="753"/>
                </a:cubicBezTo>
                <a:lnTo>
                  <a:pt x="1533" y="770"/>
                </a:lnTo>
                <a:close/>
                <a:moveTo>
                  <a:pt x="1634" y="616"/>
                </a:moveTo>
                <a:cubicBezTo>
                  <a:pt x="1643" y="629"/>
                  <a:pt x="1649" y="640"/>
                  <a:pt x="1652" y="648"/>
                </a:cubicBezTo>
                <a:cubicBezTo>
                  <a:pt x="1655" y="656"/>
                  <a:pt x="1657" y="664"/>
                  <a:pt x="1657" y="672"/>
                </a:cubicBezTo>
                <a:cubicBezTo>
                  <a:pt x="1657" y="681"/>
                  <a:pt x="1655" y="689"/>
                  <a:pt x="1650" y="697"/>
                </a:cubicBezTo>
                <a:cubicBezTo>
                  <a:pt x="1647" y="702"/>
                  <a:pt x="1641" y="708"/>
                  <a:pt x="1634" y="713"/>
                </a:cubicBezTo>
                <a:cubicBezTo>
                  <a:pt x="1626" y="718"/>
                  <a:pt x="1617" y="722"/>
                  <a:pt x="1606" y="723"/>
                </a:cubicBezTo>
                <a:lnTo>
                  <a:pt x="1626" y="751"/>
                </a:lnTo>
                <a:lnTo>
                  <a:pt x="1638" y="743"/>
                </a:lnTo>
                <a:cubicBezTo>
                  <a:pt x="1640" y="741"/>
                  <a:pt x="1642" y="742"/>
                  <a:pt x="1643" y="744"/>
                </a:cubicBezTo>
                <a:lnTo>
                  <a:pt x="1654" y="760"/>
                </a:lnTo>
                <a:cubicBezTo>
                  <a:pt x="1655" y="761"/>
                  <a:pt x="1656" y="762"/>
                  <a:pt x="1656" y="763"/>
                </a:cubicBezTo>
                <a:cubicBezTo>
                  <a:pt x="1655" y="764"/>
                  <a:pt x="1655" y="764"/>
                  <a:pt x="1653" y="765"/>
                </a:cubicBezTo>
                <a:lnTo>
                  <a:pt x="1599" y="804"/>
                </a:lnTo>
                <a:cubicBezTo>
                  <a:pt x="1597" y="805"/>
                  <a:pt x="1595" y="805"/>
                  <a:pt x="1593" y="803"/>
                </a:cubicBezTo>
                <a:lnTo>
                  <a:pt x="1582" y="787"/>
                </a:lnTo>
                <a:cubicBezTo>
                  <a:pt x="1581" y="785"/>
                  <a:pt x="1581" y="783"/>
                  <a:pt x="1583" y="781"/>
                </a:cubicBezTo>
                <a:lnTo>
                  <a:pt x="1596" y="773"/>
                </a:lnTo>
                <a:lnTo>
                  <a:pt x="1526" y="671"/>
                </a:lnTo>
                <a:lnTo>
                  <a:pt x="1521" y="664"/>
                </a:lnTo>
                <a:cubicBezTo>
                  <a:pt x="1518" y="659"/>
                  <a:pt x="1516" y="656"/>
                  <a:pt x="1514" y="654"/>
                </a:cubicBezTo>
                <a:cubicBezTo>
                  <a:pt x="1512" y="653"/>
                  <a:pt x="1511" y="652"/>
                  <a:pt x="1509" y="651"/>
                </a:cubicBezTo>
                <a:lnTo>
                  <a:pt x="1498" y="659"/>
                </a:lnTo>
                <a:cubicBezTo>
                  <a:pt x="1496" y="661"/>
                  <a:pt x="1494" y="660"/>
                  <a:pt x="1492" y="658"/>
                </a:cubicBezTo>
                <a:lnTo>
                  <a:pt x="1482" y="642"/>
                </a:lnTo>
                <a:cubicBezTo>
                  <a:pt x="1480" y="640"/>
                  <a:pt x="1480" y="638"/>
                  <a:pt x="1483" y="637"/>
                </a:cubicBezTo>
                <a:lnTo>
                  <a:pt x="1516" y="614"/>
                </a:lnTo>
                <a:cubicBezTo>
                  <a:pt x="1517" y="612"/>
                  <a:pt x="1519" y="612"/>
                  <a:pt x="1520" y="612"/>
                </a:cubicBezTo>
                <a:cubicBezTo>
                  <a:pt x="1521" y="612"/>
                  <a:pt x="1523" y="613"/>
                  <a:pt x="1525" y="615"/>
                </a:cubicBezTo>
                <a:lnTo>
                  <a:pt x="1528" y="617"/>
                </a:lnTo>
                <a:lnTo>
                  <a:pt x="1529" y="615"/>
                </a:lnTo>
                <a:cubicBezTo>
                  <a:pt x="1531" y="608"/>
                  <a:pt x="1533" y="603"/>
                  <a:pt x="1536" y="599"/>
                </a:cubicBezTo>
                <a:cubicBezTo>
                  <a:pt x="1540" y="592"/>
                  <a:pt x="1545" y="587"/>
                  <a:pt x="1551" y="582"/>
                </a:cubicBezTo>
                <a:cubicBezTo>
                  <a:pt x="1562" y="575"/>
                  <a:pt x="1574" y="572"/>
                  <a:pt x="1586" y="575"/>
                </a:cubicBezTo>
                <a:cubicBezTo>
                  <a:pt x="1602" y="579"/>
                  <a:pt x="1618" y="592"/>
                  <a:pt x="1634" y="616"/>
                </a:cubicBezTo>
                <a:close/>
                <a:moveTo>
                  <a:pt x="1605" y="638"/>
                </a:moveTo>
                <a:cubicBezTo>
                  <a:pt x="1597" y="627"/>
                  <a:pt x="1591" y="619"/>
                  <a:pt x="1585" y="615"/>
                </a:cubicBezTo>
                <a:cubicBezTo>
                  <a:pt x="1576" y="607"/>
                  <a:pt x="1567" y="607"/>
                  <a:pt x="1559" y="613"/>
                </a:cubicBezTo>
                <a:cubicBezTo>
                  <a:pt x="1556" y="615"/>
                  <a:pt x="1553" y="618"/>
                  <a:pt x="1551" y="621"/>
                </a:cubicBezTo>
                <a:cubicBezTo>
                  <a:pt x="1549" y="625"/>
                  <a:pt x="1547" y="629"/>
                  <a:pt x="1546" y="635"/>
                </a:cubicBezTo>
                <a:lnTo>
                  <a:pt x="1591" y="701"/>
                </a:lnTo>
                <a:cubicBezTo>
                  <a:pt x="1595" y="700"/>
                  <a:pt x="1599" y="699"/>
                  <a:pt x="1602" y="698"/>
                </a:cubicBezTo>
                <a:cubicBezTo>
                  <a:pt x="1605" y="697"/>
                  <a:pt x="1608" y="695"/>
                  <a:pt x="1611" y="693"/>
                </a:cubicBezTo>
                <a:cubicBezTo>
                  <a:pt x="1614" y="691"/>
                  <a:pt x="1617" y="689"/>
                  <a:pt x="1619" y="686"/>
                </a:cubicBezTo>
                <a:cubicBezTo>
                  <a:pt x="1620" y="684"/>
                  <a:pt x="1621" y="681"/>
                  <a:pt x="1622" y="677"/>
                </a:cubicBezTo>
                <a:cubicBezTo>
                  <a:pt x="1622" y="672"/>
                  <a:pt x="1621" y="666"/>
                  <a:pt x="1618" y="659"/>
                </a:cubicBezTo>
                <a:cubicBezTo>
                  <a:pt x="1614" y="653"/>
                  <a:pt x="1610" y="646"/>
                  <a:pt x="1605" y="638"/>
                </a:cubicBezTo>
                <a:close/>
              </a:path>
            </a:pathLst>
          </a:custGeom>
          <a:solidFill>
            <a:srgbClr val="6B3B1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670" name="Freeform 646">
            <a:extLst>
              <a:ext uri="{FF2B5EF4-FFF2-40B4-BE49-F238E27FC236}">
                <a16:creationId xmlns:a16="http://schemas.microsoft.com/office/drawing/2014/main" id="{00000000-0008-0000-0000-000086060000}"/>
              </a:ext>
            </a:extLst>
          </xdr:cNvPr>
          <xdr:cNvSpPr>
            <a:spLocks/>
          </xdr:cNvSpPr>
        </xdr:nvSpPr>
        <xdr:spPr bwMode="auto">
          <a:xfrm>
            <a:off x="981075" y="1085850"/>
            <a:ext cx="400050" cy="190500"/>
          </a:xfrm>
          <a:custGeom>
            <a:avLst/>
            <a:gdLst>
              <a:gd name="T0" fmla="*/ 758 w 758"/>
              <a:gd name="T1" fmla="*/ 325 h 325"/>
              <a:gd name="T2" fmla="*/ 0 w 758"/>
              <a:gd name="T3" fmla="*/ 119 h 325"/>
              <a:gd name="T4" fmla="*/ 758 w 758"/>
              <a:gd name="T5" fmla="*/ 325 h 3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58" h="325">
                <a:moveTo>
                  <a:pt x="758" y="325"/>
                </a:moveTo>
                <a:cubicBezTo>
                  <a:pt x="423" y="193"/>
                  <a:pt x="116" y="119"/>
                  <a:pt x="0" y="119"/>
                </a:cubicBezTo>
                <a:cubicBezTo>
                  <a:pt x="52" y="0"/>
                  <a:pt x="676" y="281"/>
                  <a:pt x="758" y="325"/>
                </a:cubicBezTo>
                <a:close/>
              </a:path>
            </a:pathLst>
          </a:custGeom>
          <a:solidFill>
            <a:srgbClr val="4B291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zoomScale="85" zoomScaleNormal="85" workbookViewId="0">
      <selection activeCell="AE75" sqref="AE75"/>
    </sheetView>
  </sheetViews>
  <sheetFormatPr defaultColWidth="11.5703125" defaultRowHeight="15"/>
  <cols>
    <col min="1" max="1" width="14.85546875" customWidth="1"/>
    <col min="3" max="3" width="11.5703125" customWidth="1"/>
    <col min="6" max="6" width="10.7109375" customWidth="1"/>
    <col min="8" max="8" width="11.42578125" customWidth="1"/>
    <col min="10" max="10" width="10.85546875" customWidth="1"/>
    <col min="14" max="14" width="11.7109375" customWidth="1"/>
    <col min="15" max="25" width="16.7109375" hidden="1" customWidth="1"/>
    <col min="26" max="26" width="17.85546875" hidden="1" customWidth="1"/>
    <col min="27" max="27" width="16.7109375" hidden="1" customWidth="1"/>
    <col min="28" max="28" width="8.7109375" hidden="1" customWidth="1"/>
    <col min="30" max="30" width="12.7109375" bestFit="1" customWidth="1"/>
    <col min="269" max="269" width="14.85546875" customWidth="1"/>
    <col min="271" max="271" width="13" customWidth="1"/>
    <col min="274" max="274" width="10.7109375" customWidth="1"/>
    <col min="276" max="276" width="11.42578125" customWidth="1"/>
    <col min="278" max="278" width="10.85546875" customWidth="1"/>
    <col min="282" max="282" width="11.7109375" customWidth="1"/>
    <col min="525" max="525" width="14.85546875" customWidth="1"/>
    <col min="527" max="527" width="13" customWidth="1"/>
    <col min="530" max="530" width="10.7109375" customWidth="1"/>
    <col min="532" max="532" width="11.42578125" customWidth="1"/>
    <col min="534" max="534" width="10.85546875" customWidth="1"/>
    <col min="538" max="538" width="11.7109375" customWidth="1"/>
    <col min="781" max="781" width="14.85546875" customWidth="1"/>
    <col min="783" max="783" width="13" customWidth="1"/>
    <col min="786" max="786" width="10.7109375" customWidth="1"/>
    <col min="788" max="788" width="11.42578125" customWidth="1"/>
    <col min="790" max="790" width="10.85546875" customWidth="1"/>
    <col min="794" max="794" width="11.7109375" customWidth="1"/>
    <col min="1037" max="1037" width="14.85546875" customWidth="1"/>
    <col min="1039" max="1039" width="13" customWidth="1"/>
    <col min="1042" max="1042" width="10.7109375" customWidth="1"/>
    <col min="1044" max="1044" width="11.42578125" customWidth="1"/>
    <col min="1046" max="1046" width="10.85546875" customWidth="1"/>
    <col min="1050" max="1050" width="11.7109375" customWidth="1"/>
    <col min="1293" max="1293" width="14.85546875" customWidth="1"/>
    <col min="1295" max="1295" width="13" customWidth="1"/>
    <col min="1298" max="1298" width="10.7109375" customWidth="1"/>
    <col min="1300" max="1300" width="11.42578125" customWidth="1"/>
    <col min="1302" max="1302" width="10.85546875" customWidth="1"/>
    <col min="1306" max="1306" width="11.7109375" customWidth="1"/>
    <col min="1549" max="1549" width="14.85546875" customWidth="1"/>
    <col min="1551" max="1551" width="13" customWidth="1"/>
    <col min="1554" max="1554" width="10.7109375" customWidth="1"/>
    <col min="1556" max="1556" width="11.42578125" customWidth="1"/>
    <col min="1558" max="1558" width="10.85546875" customWidth="1"/>
    <col min="1562" max="1562" width="11.7109375" customWidth="1"/>
    <col min="1805" max="1805" width="14.85546875" customWidth="1"/>
    <col min="1807" max="1807" width="13" customWidth="1"/>
    <col min="1810" max="1810" width="10.7109375" customWidth="1"/>
    <col min="1812" max="1812" width="11.42578125" customWidth="1"/>
    <col min="1814" max="1814" width="10.85546875" customWidth="1"/>
    <col min="1818" max="1818" width="11.7109375" customWidth="1"/>
    <col min="2061" max="2061" width="14.85546875" customWidth="1"/>
    <col min="2063" max="2063" width="13" customWidth="1"/>
    <col min="2066" max="2066" width="10.7109375" customWidth="1"/>
    <col min="2068" max="2068" width="11.42578125" customWidth="1"/>
    <col min="2070" max="2070" width="10.85546875" customWidth="1"/>
    <col min="2074" max="2074" width="11.7109375" customWidth="1"/>
    <col min="2317" max="2317" width="14.85546875" customWidth="1"/>
    <col min="2319" max="2319" width="13" customWidth="1"/>
    <col min="2322" max="2322" width="10.7109375" customWidth="1"/>
    <col min="2324" max="2324" width="11.42578125" customWidth="1"/>
    <col min="2326" max="2326" width="10.85546875" customWidth="1"/>
    <col min="2330" max="2330" width="11.7109375" customWidth="1"/>
    <col min="2573" max="2573" width="14.85546875" customWidth="1"/>
    <col min="2575" max="2575" width="13" customWidth="1"/>
    <col min="2578" max="2578" width="10.7109375" customWidth="1"/>
    <col min="2580" max="2580" width="11.42578125" customWidth="1"/>
    <col min="2582" max="2582" width="10.85546875" customWidth="1"/>
    <col min="2586" max="2586" width="11.7109375" customWidth="1"/>
    <col min="2829" max="2829" width="14.85546875" customWidth="1"/>
    <col min="2831" max="2831" width="13" customWidth="1"/>
    <col min="2834" max="2834" width="10.7109375" customWidth="1"/>
    <col min="2836" max="2836" width="11.42578125" customWidth="1"/>
    <col min="2838" max="2838" width="10.85546875" customWidth="1"/>
    <col min="2842" max="2842" width="11.7109375" customWidth="1"/>
    <col min="3085" max="3085" width="14.85546875" customWidth="1"/>
    <col min="3087" max="3087" width="13" customWidth="1"/>
    <col min="3090" max="3090" width="10.7109375" customWidth="1"/>
    <col min="3092" max="3092" width="11.42578125" customWidth="1"/>
    <col min="3094" max="3094" width="10.85546875" customWidth="1"/>
    <col min="3098" max="3098" width="11.7109375" customWidth="1"/>
    <col min="3341" max="3341" width="14.85546875" customWidth="1"/>
    <col min="3343" max="3343" width="13" customWidth="1"/>
    <col min="3346" max="3346" width="10.7109375" customWidth="1"/>
    <col min="3348" max="3348" width="11.42578125" customWidth="1"/>
    <col min="3350" max="3350" width="10.85546875" customWidth="1"/>
    <col min="3354" max="3354" width="11.7109375" customWidth="1"/>
    <col min="3597" max="3597" width="14.85546875" customWidth="1"/>
    <col min="3599" max="3599" width="13" customWidth="1"/>
    <col min="3602" max="3602" width="10.7109375" customWidth="1"/>
    <col min="3604" max="3604" width="11.42578125" customWidth="1"/>
    <col min="3606" max="3606" width="10.85546875" customWidth="1"/>
    <col min="3610" max="3610" width="11.7109375" customWidth="1"/>
    <col min="3853" max="3853" width="14.85546875" customWidth="1"/>
    <col min="3855" max="3855" width="13" customWidth="1"/>
    <col min="3858" max="3858" width="10.7109375" customWidth="1"/>
    <col min="3860" max="3860" width="11.42578125" customWidth="1"/>
    <col min="3862" max="3862" width="10.85546875" customWidth="1"/>
    <col min="3866" max="3866" width="11.7109375" customWidth="1"/>
    <col min="4109" max="4109" width="14.85546875" customWidth="1"/>
    <col min="4111" max="4111" width="13" customWidth="1"/>
    <col min="4114" max="4114" width="10.7109375" customWidth="1"/>
    <col min="4116" max="4116" width="11.42578125" customWidth="1"/>
    <col min="4118" max="4118" width="10.85546875" customWidth="1"/>
    <col min="4122" max="4122" width="11.7109375" customWidth="1"/>
    <col min="4365" max="4365" width="14.85546875" customWidth="1"/>
    <col min="4367" max="4367" width="13" customWidth="1"/>
    <col min="4370" max="4370" width="10.7109375" customWidth="1"/>
    <col min="4372" max="4372" width="11.42578125" customWidth="1"/>
    <col min="4374" max="4374" width="10.85546875" customWidth="1"/>
    <col min="4378" max="4378" width="11.7109375" customWidth="1"/>
    <col min="4621" max="4621" width="14.85546875" customWidth="1"/>
    <col min="4623" max="4623" width="13" customWidth="1"/>
    <col min="4626" max="4626" width="10.7109375" customWidth="1"/>
    <col min="4628" max="4628" width="11.42578125" customWidth="1"/>
    <col min="4630" max="4630" width="10.85546875" customWidth="1"/>
    <col min="4634" max="4634" width="11.7109375" customWidth="1"/>
    <col min="4877" max="4877" width="14.85546875" customWidth="1"/>
    <col min="4879" max="4879" width="13" customWidth="1"/>
    <col min="4882" max="4882" width="10.7109375" customWidth="1"/>
    <col min="4884" max="4884" width="11.42578125" customWidth="1"/>
    <col min="4886" max="4886" width="10.85546875" customWidth="1"/>
    <col min="4890" max="4890" width="11.7109375" customWidth="1"/>
    <col min="5133" max="5133" width="14.85546875" customWidth="1"/>
    <col min="5135" max="5135" width="13" customWidth="1"/>
    <col min="5138" max="5138" width="10.7109375" customWidth="1"/>
    <col min="5140" max="5140" width="11.42578125" customWidth="1"/>
    <col min="5142" max="5142" width="10.85546875" customWidth="1"/>
    <col min="5146" max="5146" width="11.7109375" customWidth="1"/>
    <col min="5389" max="5389" width="14.85546875" customWidth="1"/>
    <col min="5391" max="5391" width="13" customWidth="1"/>
    <col min="5394" max="5394" width="10.7109375" customWidth="1"/>
    <col min="5396" max="5396" width="11.42578125" customWidth="1"/>
    <col min="5398" max="5398" width="10.85546875" customWidth="1"/>
    <col min="5402" max="5402" width="11.7109375" customWidth="1"/>
    <col min="5645" max="5645" width="14.85546875" customWidth="1"/>
    <col min="5647" max="5647" width="13" customWidth="1"/>
    <col min="5650" max="5650" width="10.7109375" customWidth="1"/>
    <col min="5652" max="5652" width="11.42578125" customWidth="1"/>
    <col min="5654" max="5654" width="10.85546875" customWidth="1"/>
    <col min="5658" max="5658" width="11.7109375" customWidth="1"/>
    <col min="5901" max="5901" width="14.85546875" customWidth="1"/>
    <col min="5903" max="5903" width="13" customWidth="1"/>
    <col min="5906" max="5906" width="10.7109375" customWidth="1"/>
    <col min="5908" max="5908" width="11.42578125" customWidth="1"/>
    <col min="5910" max="5910" width="10.85546875" customWidth="1"/>
    <col min="5914" max="5914" width="11.7109375" customWidth="1"/>
    <col min="6157" max="6157" width="14.85546875" customWidth="1"/>
    <col min="6159" max="6159" width="13" customWidth="1"/>
    <col min="6162" max="6162" width="10.7109375" customWidth="1"/>
    <col min="6164" max="6164" width="11.42578125" customWidth="1"/>
    <col min="6166" max="6166" width="10.85546875" customWidth="1"/>
    <col min="6170" max="6170" width="11.7109375" customWidth="1"/>
    <col min="6413" max="6413" width="14.85546875" customWidth="1"/>
    <col min="6415" max="6415" width="13" customWidth="1"/>
    <col min="6418" max="6418" width="10.7109375" customWidth="1"/>
    <col min="6420" max="6420" width="11.42578125" customWidth="1"/>
    <col min="6422" max="6422" width="10.85546875" customWidth="1"/>
    <col min="6426" max="6426" width="11.7109375" customWidth="1"/>
    <col min="6669" max="6669" width="14.85546875" customWidth="1"/>
    <col min="6671" max="6671" width="13" customWidth="1"/>
    <col min="6674" max="6674" width="10.7109375" customWidth="1"/>
    <col min="6676" max="6676" width="11.42578125" customWidth="1"/>
    <col min="6678" max="6678" width="10.85546875" customWidth="1"/>
    <col min="6682" max="6682" width="11.7109375" customWidth="1"/>
    <col min="6925" max="6925" width="14.85546875" customWidth="1"/>
    <col min="6927" max="6927" width="13" customWidth="1"/>
    <col min="6930" max="6930" width="10.7109375" customWidth="1"/>
    <col min="6932" max="6932" width="11.42578125" customWidth="1"/>
    <col min="6934" max="6934" width="10.85546875" customWidth="1"/>
    <col min="6938" max="6938" width="11.7109375" customWidth="1"/>
    <col min="7181" max="7181" width="14.85546875" customWidth="1"/>
    <col min="7183" max="7183" width="13" customWidth="1"/>
    <col min="7186" max="7186" width="10.7109375" customWidth="1"/>
    <col min="7188" max="7188" width="11.42578125" customWidth="1"/>
    <col min="7190" max="7190" width="10.85546875" customWidth="1"/>
    <col min="7194" max="7194" width="11.7109375" customWidth="1"/>
    <col min="7437" max="7437" width="14.85546875" customWidth="1"/>
    <col min="7439" max="7439" width="13" customWidth="1"/>
    <col min="7442" max="7442" width="10.7109375" customWidth="1"/>
    <col min="7444" max="7444" width="11.42578125" customWidth="1"/>
    <col min="7446" max="7446" width="10.85546875" customWidth="1"/>
    <col min="7450" max="7450" width="11.7109375" customWidth="1"/>
    <col min="7693" max="7693" width="14.85546875" customWidth="1"/>
    <col min="7695" max="7695" width="13" customWidth="1"/>
    <col min="7698" max="7698" width="10.7109375" customWidth="1"/>
    <col min="7700" max="7700" width="11.42578125" customWidth="1"/>
    <col min="7702" max="7702" width="10.85546875" customWidth="1"/>
    <col min="7706" max="7706" width="11.7109375" customWidth="1"/>
    <col min="7949" max="7949" width="14.85546875" customWidth="1"/>
    <col min="7951" max="7951" width="13" customWidth="1"/>
    <col min="7954" max="7954" width="10.7109375" customWidth="1"/>
    <col min="7956" max="7956" width="11.42578125" customWidth="1"/>
    <col min="7958" max="7958" width="10.85546875" customWidth="1"/>
    <col min="7962" max="7962" width="11.7109375" customWidth="1"/>
    <col min="8205" max="8205" width="14.85546875" customWidth="1"/>
    <col min="8207" max="8207" width="13" customWidth="1"/>
    <col min="8210" max="8210" width="10.7109375" customWidth="1"/>
    <col min="8212" max="8212" width="11.42578125" customWidth="1"/>
    <col min="8214" max="8214" width="10.85546875" customWidth="1"/>
    <col min="8218" max="8218" width="11.7109375" customWidth="1"/>
    <col min="8461" max="8461" width="14.85546875" customWidth="1"/>
    <col min="8463" max="8463" width="13" customWidth="1"/>
    <col min="8466" max="8466" width="10.7109375" customWidth="1"/>
    <col min="8468" max="8468" width="11.42578125" customWidth="1"/>
    <col min="8470" max="8470" width="10.85546875" customWidth="1"/>
    <col min="8474" max="8474" width="11.7109375" customWidth="1"/>
    <col min="8717" max="8717" width="14.85546875" customWidth="1"/>
    <col min="8719" max="8719" width="13" customWidth="1"/>
    <col min="8722" max="8722" width="10.7109375" customWidth="1"/>
    <col min="8724" max="8724" width="11.42578125" customWidth="1"/>
    <col min="8726" max="8726" width="10.85546875" customWidth="1"/>
    <col min="8730" max="8730" width="11.7109375" customWidth="1"/>
    <col min="8973" max="8973" width="14.85546875" customWidth="1"/>
    <col min="8975" max="8975" width="13" customWidth="1"/>
    <col min="8978" max="8978" width="10.7109375" customWidth="1"/>
    <col min="8980" max="8980" width="11.42578125" customWidth="1"/>
    <col min="8982" max="8982" width="10.85546875" customWidth="1"/>
    <col min="8986" max="8986" width="11.7109375" customWidth="1"/>
    <col min="9229" max="9229" width="14.85546875" customWidth="1"/>
    <col min="9231" max="9231" width="13" customWidth="1"/>
    <col min="9234" max="9234" width="10.7109375" customWidth="1"/>
    <col min="9236" max="9236" width="11.42578125" customWidth="1"/>
    <col min="9238" max="9238" width="10.85546875" customWidth="1"/>
    <col min="9242" max="9242" width="11.7109375" customWidth="1"/>
    <col min="9485" max="9485" width="14.85546875" customWidth="1"/>
    <col min="9487" max="9487" width="13" customWidth="1"/>
    <col min="9490" max="9490" width="10.7109375" customWidth="1"/>
    <col min="9492" max="9492" width="11.42578125" customWidth="1"/>
    <col min="9494" max="9494" width="10.85546875" customWidth="1"/>
    <col min="9498" max="9498" width="11.7109375" customWidth="1"/>
    <col min="9741" max="9741" width="14.85546875" customWidth="1"/>
    <col min="9743" max="9743" width="13" customWidth="1"/>
    <col min="9746" max="9746" width="10.7109375" customWidth="1"/>
    <col min="9748" max="9748" width="11.42578125" customWidth="1"/>
    <col min="9750" max="9750" width="10.85546875" customWidth="1"/>
    <col min="9754" max="9754" width="11.7109375" customWidth="1"/>
    <col min="9997" max="9997" width="14.85546875" customWidth="1"/>
    <col min="9999" max="9999" width="13" customWidth="1"/>
    <col min="10002" max="10002" width="10.7109375" customWidth="1"/>
    <col min="10004" max="10004" width="11.42578125" customWidth="1"/>
    <col min="10006" max="10006" width="10.85546875" customWidth="1"/>
    <col min="10010" max="10010" width="11.7109375" customWidth="1"/>
    <col min="10253" max="10253" width="14.85546875" customWidth="1"/>
    <col min="10255" max="10255" width="13" customWidth="1"/>
    <col min="10258" max="10258" width="10.7109375" customWidth="1"/>
    <col min="10260" max="10260" width="11.42578125" customWidth="1"/>
    <col min="10262" max="10262" width="10.85546875" customWidth="1"/>
    <col min="10266" max="10266" width="11.7109375" customWidth="1"/>
    <col min="10509" max="10509" width="14.85546875" customWidth="1"/>
    <col min="10511" max="10511" width="13" customWidth="1"/>
    <col min="10514" max="10514" width="10.7109375" customWidth="1"/>
    <col min="10516" max="10516" width="11.42578125" customWidth="1"/>
    <col min="10518" max="10518" width="10.85546875" customWidth="1"/>
    <col min="10522" max="10522" width="11.7109375" customWidth="1"/>
    <col min="10765" max="10765" width="14.85546875" customWidth="1"/>
    <col min="10767" max="10767" width="13" customWidth="1"/>
    <col min="10770" max="10770" width="10.7109375" customWidth="1"/>
    <col min="10772" max="10772" width="11.42578125" customWidth="1"/>
    <col min="10774" max="10774" width="10.85546875" customWidth="1"/>
    <col min="10778" max="10778" width="11.7109375" customWidth="1"/>
    <col min="11021" max="11021" width="14.85546875" customWidth="1"/>
    <col min="11023" max="11023" width="13" customWidth="1"/>
    <col min="11026" max="11026" width="10.7109375" customWidth="1"/>
    <col min="11028" max="11028" width="11.42578125" customWidth="1"/>
    <col min="11030" max="11030" width="10.85546875" customWidth="1"/>
    <col min="11034" max="11034" width="11.7109375" customWidth="1"/>
    <col min="11277" max="11277" width="14.85546875" customWidth="1"/>
    <col min="11279" max="11279" width="13" customWidth="1"/>
    <col min="11282" max="11282" width="10.7109375" customWidth="1"/>
    <col min="11284" max="11284" width="11.42578125" customWidth="1"/>
    <col min="11286" max="11286" width="10.85546875" customWidth="1"/>
    <col min="11290" max="11290" width="11.7109375" customWidth="1"/>
    <col min="11533" max="11533" width="14.85546875" customWidth="1"/>
    <col min="11535" max="11535" width="13" customWidth="1"/>
    <col min="11538" max="11538" width="10.7109375" customWidth="1"/>
    <col min="11540" max="11540" width="11.42578125" customWidth="1"/>
    <col min="11542" max="11542" width="10.85546875" customWidth="1"/>
    <col min="11546" max="11546" width="11.7109375" customWidth="1"/>
    <col min="11789" max="11789" width="14.85546875" customWidth="1"/>
    <col min="11791" max="11791" width="13" customWidth="1"/>
    <col min="11794" max="11794" width="10.7109375" customWidth="1"/>
    <col min="11796" max="11796" width="11.42578125" customWidth="1"/>
    <col min="11798" max="11798" width="10.85546875" customWidth="1"/>
    <col min="11802" max="11802" width="11.7109375" customWidth="1"/>
    <col min="12045" max="12045" width="14.85546875" customWidth="1"/>
    <col min="12047" max="12047" width="13" customWidth="1"/>
    <col min="12050" max="12050" width="10.7109375" customWidth="1"/>
    <col min="12052" max="12052" width="11.42578125" customWidth="1"/>
    <col min="12054" max="12054" width="10.85546875" customWidth="1"/>
    <col min="12058" max="12058" width="11.7109375" customWidth="1"/>
    <col min="12301" max="12301" width="14.85546875" customWidth="1"/>
    <col min="12303" max="12303" width="13" customWidth="1"/>
    <col min="12306" max="12306" width="10.7109375" customWidth="1"/>
    <col min="12308" max="12308" width="11.42578125" customWidth="1"/>
    <col min="12310" max="12310" width="10.85546875" customWidth="1"/>
    <col min="12314" max="12314" width="11.7109375" customWidth="1"/>
    <col min="12557" max="12557" width="14.85546875" customWidth="1"/>
    <col min="12559" max="12559" width="13" customWidth="1"/>
    <col min="12562" max="12562" width="10.7109375" customWidth="1"/>
    <col min="12564" max="12564" width="11.42578125" customWidth="1"/>
    <col min="12566" max="12566" width="10.85546875" customWidth="1"/>
    <col min="12570" max="12570" width="11.7109375" customWidth="1"/>
    <col min="12813" max="12813" width="14.85546875" customWidth="1"/>
    <col min="12815" max="12815" width="13" customWidth="1"/>
    <col min="12818" max="12818" width="10.7109375" customWidth="1"/>
    <col min="12820" max="12820" width="11.42578125" customWidth="1"/>
    <col min="12822" max="12822" width="10.85546875" customWidth="1"/>
    <col min="12826" max="12826" width="11.7109375" customWidth="1"/>
    <col min="13069" max="13069" width="14.85546875" customWidth="1"/>
    <col min="13071" max="13071" width="13" customWidth="1"/>
    <col min="13074" max="13074" width="10.7109375" customWidth="1"/>
    <col min="13076" max="13076" width="11.42578125" customWidth="1"/>
    <col min="13078" max="13078" width="10.85546875" customWidth="1"/>
    <col min="13082" max="13082" width="11.7109375" customWidth="1"/>
    <col min="13325" max="13325" width="14.85546875" customWidth="1"/>
    <col min="13327" max="13327" width="13" customWidth="1"/>
    <col min="13330" max="13330" width="10.7109375" customWidth="1"/>
    <col min="13332" max="13332" width="11.42578125" customWidth="1"/>
    <col min="13334" max="13334" width="10.85546875" customWidth="1"/>
    <col min="13338" max="13338" width="11.7109375" customWidth="1"/>
    <col min="13581" max="13581" width="14.85546875" customWidth="1"/>
    <col min="13583" max="13583" width="13" customWidth="1"/>
    <col min="13586" max="13586" width="10.7109375" customWidth="1"/>
    <col min="13588" max="13588" width="11.42578125" customWidth="1"/>
    <col min="13590" max="13590" width="10.85546875" customWidth="1"/>
    <col min="13594" max="13594" width="11.7109375" customWidth="1"/>
    <col min="13837" max="13837" width="14.85546875" customWidth="1"/>
    <col min="13839" max="13839" width="13" customWidth="1"/>
    <col min="13842" max="13842" width="10.7109375" customWidth="1"/>
    <col min="13844" max="13844" width="11.42578125" customWidth="1"/>
    <col min="13846" max="13846" width="10.85546875" customWidth="1"/>
    <col min="13850" max="13850" width="11.7109375" customWidth="1"/>
    <col min="14093" max="14093" width="14.85546875" customWidth="1"/>
    <col min="14095" max="14095" width="13" customWidth="1"/>
    <col min="14098" max="14098" width="10.7109375" customWidth="1"/>
    <col min="14100" max="14100" width="11.42578125" customWidth="1"/>
    <col min="14102" max="14102" width="10.85546875" customWidth="1"/>
    <col min="14106" max="14106" width="11.7109375" customWidth="1"/>
    <col min="14349" max="14349" width="14.85546875" customWidth="1"/>
    <col min="14351" max="14351" width="13" customWidth="1"/>
    <col min="14354" max="14354" width="10.7109375" customWidth="1"/>
    <col min="14356" max="14356" width="11.42578125" customWidth="1"/>
    <col min="14358" max="14358" width="10.85546875" customWidth="1"/>
    <col min="14362" max="14362" width="11.7109375" customWidth="1"/>
    <col min="14605" max="14605" width="14.85546875" customWidth="1"/>
    <col min="14607" max="14607" width="13" customWidth="1"/>
    <col min="14610" max="14610" width="10.7109375" customWidth="1"/>
    <col min="14612" max="14612" width="11.42578125" customWidth="1"/>
    <col min="14614" max="14614" width="10.85546875" customWidth="1"/>
    <col min="14618" max="14618" width="11.7109375" customWidth="1"/>
    <col min="14861" max="14861" width="14.85546875" customWidth="1"/>
    <col min="14863" max="14863" width="13" customWidth="1"/>
    <col min="14866" max="14866" width="10.7109375" customWidth="1"/>
    <col min="14868" max="14868" width="11.42578125" customWidth="1"/>
    <col min="14870" max="14870" width="10.85546875" customWidth="1"/>
    <col min="14874" max="14874" width="11.7109375" customWidth="1"/>
    <col min="15117" max="15117" width="14.85546875" customWidth="1"/>
    <col min="15119" max="15119" width="13" customWidth="1"/>
    <col min="15122" max="15122" width="10.7109375" customWidth="1"/>
    <col min="15124" max="15124" width="11.42578125" customWidth="1"/>
    <col min="15126" max="15126" width="10.85546875" customWidth="1"/>
    <col min="15130" max="15130" width="11.7109375" customWidth="1"/>
    <col min="15373" max="15373" width="14.85546875" customWidth="1"/>
    <col min="15375" max="15375" width="13" customWidth="1"/>
    <col min="15378" max="15378" width="10.7109375" customWidth="1"/>
    <col min="15380" max="15380" width="11.42578125" customWidth="1"/>
    <col min="15382" max="15382" width="10.85546875" customWidth="1"/>
    <col min="15386" max="15386" width="11.7109375" customWidth="1"/>
    <col min="15629" max="15629" width="14.85546875" customWidth="1"/>
    <col min="15631" max="15631" width="13" customWidth="1"/>
    <col min="15634" max="15634" width="10.7109375" customWidth="1"/>
    <col min="15636" max="15636" width="11.42578125" customWidth="1"/>
    <col min="15638" max="15638" width="10.85546875" customWidth="1"/>
    <col min="15642" max="15642" width="11.7109375" customWidth="1"/>
  </cols>
  <sheetData>
    <row r="1" spans="1:38">
      <c r="A1" s="92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4"/>
    </row>
    <row r="2" spans="1:38">
      <c r="A2" s="95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7"/>
    </row>
    <row r="3" spans="1:38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</row>
    <row r="4" spans="1:38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7"/>
    </row>
    <row r="5" spans="1:38">
      <c r="A5" s="95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7"/>
    </row>
    <row r="6" spans="1:38">
      <c r="A6" s="95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7"/>
    </row>
    <row r="7" spans="1:38">
      <c r="A7" s="95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7"/>
    </row>
    <row r="8" spans="1:38">
      <c r="A8" s="95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7"/>
    </row>
    <row r="9" spans="1:38" ht="13.5" customHeight="1" thickBot="1">
      <c r="A9" s="95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7"/>
    </row>
    <row r="10" spans="1:38" ht="18" customHeight="1">
      <c r="A10" s="165" t="s">
        <v>78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7"/>
      <c r="O10" s="37" t="s">
        <v>67</v>
      </c>
      <c r="P10" s="37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38" ht="15" customHeight="1">
      <c r="A11" s="98" t="s">
        <v>0</v>
      </c>
      <c r="B11" s="54"/>
      <c r="C11" s="54"/>
      <c r="D11" s="54"/>
      <c r="E11" s="55"/>
      <c r="F11" s="6" t="s">
        <v>1</v>
      </c>
      <c r="G11" s="6" t="s">
        <v>2</v>
      </c>
      <c r="H11" s="6" t="s">
        <v>3</v>
      </c>
      <c r="I11" s="6" t="s">
        <v>4</v>
      </c>
      <c r="J11" s="6" t="s">
        <v>5</v>
      </c>
      <c r="K11" s="6" t="s">
        <v>6</v>
      </c>
      <c r="L11" s="6" t="s">
        <v>7</v>
      </c>
      <c r="M11" s="6" t="s">
        <v>8</v>
      </c>
      <c r="N11" s="99" t="s">
        <v>9</v>
      </c>
      <c r="O11" s="8" t="s">
        <v>1</v>
      </c>
      <c r="P11" s="8" t="s">
        <v>2</v>
      </c>
      <c r="Q11" s="8" t="s">
        <v>3</v>
      </c>
      <c r="R11" s="8" t="s">
        <v>4</v>
      </c>
      <c r="S11" s="8" t="s">
        <v>5</v>
      </c>
      <c r="T11" s="8" t="s">
        <v>6</v>
      </c>
      <c r="U11" s="8" t="s">
        <v>7</v>
      </c>
      <c r="V11" s="8" t="s">
        <v>8</v>
      </c>
      <c r="W11" s="8" t="s">
        <v>9</v>
      </c>
      <c r="X11" s="8"/>
      <c r="Y11" s="8"/>
      <c r="Z11" s="8"/>
      <c r="AA11" s="8"/>
      <c r="AB11" s="8"/>
    </row>
    <row r="12" spans="1:38" ht="17.25">
      <c r="A12" s="100" t="s">
        <v>57</v>
      </c>
      <c r="B12" s="40"/>
      <c r="C12" s="40"/>
      <c r="D12" s="40"/>
      <c r="E12" s="40"/>
      <c r="F12" s="16">
        <v>1441</v>
      </c>
      <c r="G12" s="16">
        <v>1885</v>
      </c>
      <c r="H12" s="16">
        <v>2370</v>
      </c>
      <c r="I12" s="16">
        <v>2709</v>
      </c>
      <c r="J12" s="16">
        <v>3181</v>
      </c>
      <c r="K12" s="16">
        <v>3711</v>
      </c>
      <c r="L12" s="16" t="s">
        <v>41</v>
      </c>
      <c r="M12" s="16" t="s">
        <v>41</v>
      </c>
      <c r="N12" s="101" t="s">
        <v>41</v>
      </c>
      <c r="O12" s="8">
        <f t="shared" ref="O12:W14" si="0">F12/2.97</f>
        <v>485.18518518518516</v>
      </c>
      <c r="P12" s="8">
        <f t="shared" si="0"/>
        <v>634.68013468013464</v>
      </c>
      <c r="Q12" s="8">
        <f t="shared" si="0"/>
        <v>797.97979797979792</v>
      </c>
      <c r="R12" s="8">
        <f t="shared" si="0"/>
        <v>912.12121212121201</v>
      </c>
      <c r="S12" s="8">
        <f t="shared" si="0"/>
        <v>1071.0437710437709</v>
      </c>
      <c r="T12" s="8">
        <f t="shared" si="0"/>
        <v>1249.4949494949494</v>
      </c>
      <c r="U12" s="8" t="e">
        <f t="shared" si="0"/>
        <v>#VALUE!</v>
      </c>
      <c r="V12" s="8" t="e">
        <f t="shared" si="0"/>
        <v>#VALUE!</v>
      </c>
      <c r="W12" s="8" t="e">
        <f t="shared" si="0"/>
        <v>#VALUE!</v>
      </c>
      <c r="X12" s="8"/>
      <c r="Y12" s="8"/>
      <c r="Z12" s="8"/>
      <c r="AA12" s="8"/>
      <c r="AB12" s="8"/>
    </row>
    <row r="13" spans="1:38" ht="19.5" customHeight="1">
      <c r="A13" s="100" t="s">
        <v>10</v>
      </c>
      <c r="B13" s="40"/>
      <c r="C13" s="40"/>
      <c r="D13" s="40"/>
      <c r="E13" s="40"/>
      <c r="F13" s="16">
        <v>1308</v>
      </c>
      <c r="G13" s="16">
        <v>1707</v>
      </c>
      <c r="H13" s="16">
        <v>2270</v>
      </c>
      <c r="I13" s="16">
        <v>2548</v>
      </c>
      <c r="J13" s="16">
        <v>2988</v>
      </c>
      <c r="K13" s="16">
        <v>3474</v>
      </c>
      <c r="L13" s="16" t="s">
        <v>41</v>
      </c>
      <c r="M13" s="16" t="s">
        <v>41</v>
      </c>
      <c r="N13" s="101" t="s">
        <v>41</v>
      </c>
      <c r="O13" s="8">
        <f t="shared" si="0"/>
        <v>440.40404040404036</v>
      </c>
      <c r="P13" s="8">
        <f t="shared" si="0"/>
        <v>574.74747474747471</v>
      </c>
      <c r="Q13" s="8">
        <f t="shared" si="0"/>
        <v>764.3097643097642</v>
      </c>
      <c r="R13" s="8">
        <f t="shared" si="0"/>
        <v>857.91245791245785</v>
      </c>
      <c r="S13" s="8">
        <f t="shared" si="0"/>
        <v>1006.060606060606</v>
      </c>
      <c r="T13" s="8">
        <f t="shared" si="0"/>
        <v>1169.6969696969695</v>
      </c>
      <c r="U13" s="8" t="e">
        <f t="shared" si="0"/>
        <v>#VALUE!</v>
      </c>
      <c r="V13" s="8" t="e">
        <f t="shared" si="0"/>
        <v>#VALUE!</v>
      </c>
      <c r="W13" s="8" t="e">
        <f t="shared" si="0"/>
        <v>#VALUE!</v>
      </c>
      <c r="X13" s="8"/>
      <c r="Y13" s="8"/>
      <c r="Z13" s="8"/>
      <c r="AA13" s="8"/>
      <c r="AB13" s="8"/>
    </row>
    <row r="14" spans="1:38" ht="19.5" customHeight="1">
      <c r="A14" s="100" t="s">
        <v>11</v>
      </c>
      <c r="B14" s="40"/>
      <c r="C14" s="40"/>
      <c r="D14" s="40"/>
      <c r="E14" s="40"/>
      <c r="F14" s="7">
        <v>1220</v>
      </c>
      <c r="G14" s="18">
        <v>1525</v>
      </c>
      <c r="H14" s="18">
        <v>1910</v>
      </c>
      <c r="I14" s="18">
        <v>2260</v>
      </c>
      <c r="J14" s="18">
        <v>2650</v>
      </c>
      <c r="K14" s="18">
        <v>3090</v>
      </c>
      <c r="L14" s="18">
        <v>4888</v>
      </c>
      <c r="M14" s="18" t="s">
        <v>41</v>
      </c>
      <c r="N14" s="102" t="s">
        <v>41</v>
      </c>
      <c r="O14" s="8">
        <f t="shared" si="0"/>
        <v>410.77441077441074</v>
      </c>
      <c r="P14" s="8">
        <f t="shared" si="0"/>
        <v>513.4680134680134</v>
      </c>
      <c r="Q14" s="8">
        <f t="shared" si="0"/>
        <v>643.09764309764307</v>
      </c>
      <c r="R14" s="8">
        <f t="shared" si="0"/>
        <v>760.94276094276086</v>
      </c>
      <c r="S14" s="8">
        <f t="shared" si="0"/>
        <v>892.25589225589215</v>
      </c>
      <c r="T14" s="8">
        <f t="shared" si="0"/>
        <v>1040.4040404040404</v>
      </c>
      <c r="U14" s="8">
        <f t="shared" si="0"/>
        <v>1645.7912457912457</v>
      </c>
      <c r="V14" s="8" t="e">
        <f t="shared" si="0"/>
        <v>#VALUE!</v>
      </c>
      <c r="W14" s="8" t="e">
        <f t="shared" si="0"/>
        <v>#VALUE!</v>
      </c>
      <c r="X14" s="8"/>
      <c r="Y14" s="8"/>
      <c r="Z14" s="8"/>
      <c r="AA14" s="8"/>
      <c r="AB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19.5" customHeight="1">
      <c r="A15" s="103" t="s">
        <v>77</v>
      </c>
      <c r="B15" s="50"/>
      <c r="C15" s="50"/>
      <c r="D15" s="50"/>
      <c r="E15" s="78"/>
      <c r="F15" s="82">
        <v>3050</v>
      </c>
      <c r="G15" s="32">
        <v>3570</v>
      </c>
      <c r="H15" s="32">
        <v>4055</v>
      </c>
      <c r="I15" s="32">
        <v>4500</v>
      </c>
      <c r="J15" s="32">
        <v>4850</v>
      </c>
      <c r="K15" s="32">
        <v>5400</v>
      </c>
      <c r="L15" s="32" t="s">
        <v>41</v>
      </c>
      <c r="M15" s="32" t="s">
        <v>41</v>
      </c>
      <c r="N15" s="104" t="s">
        <v>41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15" customHeight="1">
      <c r="A16" s="105" t="s">
        <v>12</v>
      </c>
      <c r="B16" s="61"/>
      <c r="C16" s="61"/>
      <c r="D16" s="61"/>
      <c r="E16" s="61"/>
      <c r="F16" s="5">
        <v>51.68</v>
      </c>
      <c r="G16" s="5">
        <v>37.33</v>
      </c>
      <c r="H16" s="5">
        <v>27.99</v>
      </c>
      <c r="I16" s="5">
        <v>22.4</v>
      </c>
      <c r="J16" s="5">
        <v>18.66</v>
      </c>
      <c r="K16" s="5">
        <v>16</v>
      </c>
      <c r="L16" s="5">
        <v>14</v>
      </c>
      <c r="M16" s="5">
        <v>12.44</v>
      </c>
      <c r="N16" s="106">
        <v>11.2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3" ht="18" customHeight="1">
      <c r="A17" s="107" t="s">
        <v>79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108"/>
      <c r="O17" s="8" t="s">
        <v>67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3" ht="15" customHeight="1">
      <c r="A18" s="103" t="s">
        <v>0</v>
      </c>
      <c r="B18" s="50"/>
      <c r="C18" s="9" t="s">
        <v>13</v>
      </c>
      <c r="D18" s="12" t="s">
        <v>14</v>
      </c>
      <c r="E18" s="12" t="s">
        <v>16</v>
      </c>
      <c r="F18" s="12" t="s">
        <v>17</v>
      </c>
      <c r="G18" s="12" t="s">
        <v>18</v>
      </c>
      <c r="H18" s="12" t="s">
        <v>19</v>
      </c>
      <c r="I18" s="12" t="s">
        <v>20</v>
      </c>
      <c r="J18" s="12" t="s">
        <v>21</v>
      </c>
      <c r="K18" s="12" t="s">
        <v>22</v>
      </c>
      <c r="L18" s="12" t="s">
        <v>23</v>
      </c>
      <c r="M18" s="12" t="s">
        <v>24</v>
      </c>
      <c r="N18" s="109" t="s">
        <v>25</v>
      </c>
      <c r="O18" s="8" t="s">
        <v>13</v>
      </c>
      <c r="P18" s="8" t="s">
        <v>14</v>
      </c>
      <c r="Q18" s="8" t="s">
        <v>15</v>
      </c>
      <c r="R18" s="8" t="s">
        <v>16</v>
      </c>
      <c r="S18" s="8" t="s">
        <v>17</v>
      </c>
      <c r="T18" s="8" t="s">
        <v>18</v>
      </c>
      <c r="U18" s="8" t="s">
        <v>19</v>
      </c>
      <c r="V18" s="8" t="s">
        <v>20</v>
      </c>
      <c r="W18" s="8" t="s">
        <v>21</v>
      </c>
      <c r="X18" s="8" t="s">
        <v>22</v>
      </c>
      <c r="Y18" s="8" t="s">
        <v>23</v>
      </c>
      <c r="Z18" s="8" t="s">
        <v>24</v>
      </c>
      <c r="AA18" s="8" t="s">
        <v>25</v>
      </c>
      <c r="AB18" s="8"/>
    </row>
    <row r="19" spans="1:43" ht="19.5" customHeight="1">
      <c r="A19" s="103" t="s">
        <v>26</v>
      </c>
      <c r="B19" s="50"/>
      <c r="C19" s="14">
        <v>365</v>
      </c>
      <c r="D19" s="74">
        <v>435</v>
      </c>
      <c r="E19" s="15">
        <v>625</v>
      </c>
      <c r="F19" s="15">
        <v>825</v>
      </c>
      <c r="G19" s="15">
        <v>945</v>
      </c>
      <c r="H19" s="15">
        <v>980</v>
      </c>
      <c r="I19" s="15">
        <v>1165</v>
      </c>
      <c r="J19" s="33">
        <v>1353</v>
      </c>
      <c r="K19" s="33">
        <v>1469</v>
      </c>
      <c r="L19" s="33">
        <v>1496</v>
      </c>
      <c r="M19" s="33">
        <v>1800</v>
      </c>
      <c r="N19" s="110">
        <v>2050</v>
      </c>
      <c r="O19" s="8">
        <f>B19/2.32</f>
        <v>0</v>
      </c>
      <c r="P19" s="8">
        <f>D19/2.32</f>
        <v>187.5</v>
      </c>
      <c r="Q19" s="8" t="e">
        <f>#REF!/2.32</f>
        <v>#REF!</v>
      </c>
      <c r="R19" s="8">
        <f t="shared" ref="R19:AA19" si="1">E19/2.32</f>
        <v>269.39655172413796</v>
      </c>
      <c r="S19" s="8">
        <f t="shared" si="1"/>
        <v>355.60344827586209</v>
      </c>
      <c r="T19" s="8">
        <f t="shared" si="1"/>
        <v>407.32758620689657</v>
      </c>
      <c r="U19" s="8">
        <f t="shared" si="1"/>
        <v>422.41379310344831</v>
      </c>
      <c r="V19" s="8">
        <f t="shared" si="1"/>
        <v>502.15517241379314</v>
      </c>
      <c r="W19" s="8">
        <f t="shared" si="1"/>
        <v>583.18965517241384</v>
      </c>
      <c r="X19" s="8">
        <f t="shared" si="1"/>
        <v>633.18965517241384</v>
      </c>
      <c r="Y19" s="8">
        <f t="shared" si="1"/>
        <v>644.82758620689663</v>
      </c>
      <c r="Z19" s="8">
        <f t="shared" si="1"/>
        <v>775.86206896551732</v>
      </c>
      <c r="AA19" s="8">
        <f t="shared" si="1"/>
        <v>883.62068965517244</v>
      </c>
      <c r="AB19" s="8"/>
    </row>
    <row r="20" spans="1:43" ht="17.25">
      <c r="A20" s="103" t="s">
        <v>12</v>
      </c>
      <c r="B20" s="50"/>
      <c r="C20" s="14">
        <v>143.33000000000001</v>
      </c>
      <c r="D20" s="75">
        <v>107.5</v>
      </c>
      <c r="E20" s="3">
        <v>71.67</v>
      </c>
      <c r="F20" s="3">
        <v>53.76</v>
      </c>
      <c r="G20" s="3">
        <v>47.78</v>
      </c>
      <c r="H20" s="3">
        <v>43</v>
      </c>
      <c r="I20" s="3">
        <v>35.83</v>
      </c>
      <c r="J20" s="3">
        <v>30.67</v>
      </c>
      <c r="K20" s="3">
        <v>28.67</v>
      </c>
      <c r="L20" s="3">
        <v>26.88</v>
      </c>
      <c r="M20" s="3">
        <v>23.89</v>
      </c>
      <c r="N20" s="111">
        <v>21.5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3" ht="18" customHeight="1">
      <c r="A21" s="112" t="s">
        <v>62</v>
      </c>
      <c r="B21" s="62"/>
      <c r="C21" s="76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13"/>
      <c r="O21" s="8" t="s">
        <v>67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43" ht="18">
      <c r="A22" s="114" t="s">
        <v>0</v>
      </c>
      <c r="B22" s="42"/>
      <c r="C22" s="42"/>
      <c r="D22" s="12" t="s">
        <v>13</v>
      </c>
      <c r="E22" s="12" t="s">
        <v>14</v>
      </c>
      <c r="F22" s="12" t="s">
        <v>15</v>
      </c>
      <c r="G22" s="12" t="s">
        <v>16</v>
      </c>
      <c r="H22" s="12" t="s">
        <v>17</v>
      </c>
      <c r="I22" s="12" t="s">
        <v>18</v>
      </c>
      <c r="J22" s="12" t="s">
        <v>19</v>
      </c>
      <c r="K22" s="12" t="s">
        <v>20</v>
      </c>
      <c r="L22" s="12" t="s">
        <v>22</v>
      </c>
      <c r="M22" s="12" t="s">
        <v>24</v>
      </c>
      <c r="N22" s="109" t="s">
        <v>27</v>
      </c>
      <c r="O22" s="8" t="s">
        <v>13</v>
      </c>
      <c r="P22" s="8" t="s">
        <v>14</v>
      </c>
      <c r="Q22" s="8" t="s">
        <v>15</v>
      </c>
      <c r="R22" s="8" t="s">
        <v>16</v>
      </c>
      <c r="S22" s="8" t="s">
        <v>17</v>
      </c>
      <c r="T22" s="8" t="s">
        <v>18</v>
      </c>
      <c r="U22" s="8" t="s">
        <v>19</v>
      </c>
      <c r="V22" s="8" t="s">
        <v>20</v>
      </c>
      <c r="W22" s="8" t="s">
        <v>22</v>
      </c>
      <c r="X22" s="8" t="s">
        <v>24</v>
      </c>
      <c r="Y22" s="8" t="s">
        <v>27</v>
      </c>
      <c r="Z22" s="8"/>
      <c r="AA22" s="8"/>
      <c r="AB22" s="8"/>
      <c r="AD22" s="20"/>
      <c r="AE22" s="21"/>
      <c r="AF22" s="20"/>
      <c r="AG22" s="20"/>
      <c r="AH22" s="20"/>
      <c r="AI22" s="20"/>
      <c r="AJ22" s="21"/>
      <c r="AK22" s="20"/>
      <c r="AL22" s="21"/>
      <c r="AM22" s="20"/>
      <c r="AN22" s="20"/>
    </row>
    <row r="23" spans="1:43" ht="19.5" customHeight="1">
      <c r="A23" s="115" t="s">
        <v>28</v>
      </c>
      <c r="B23" s="63"/>
      <c r="C23" s="63"/>
      <c r="D23" s="14">
        <v>934</v>
      </c>
      <c r="E23" s="14">
        <v>1066</v>
      </c>
      <c r="F23" s="14">
        <v>1155</v>
      </c>
      <c r="G23" s="14">
        <v>1234</v>
      </c>
      <c r="H23" s="14">
        <v>1465</v>
      </c>
      <c r="I23" s="14">
        <v>1554</v>
      </c>
      <c r="J23" s="14">
        <v>1785</v>
      </c>
      <c r="K23" s="14">
        <v>2121</v>
      </c>
      <c r="L23" s="14">
        <v>2651</v>
      </c>
      <c r="M23" s="14">
        <v>3180</v>
      </c>
      <c r="N23" s="116">
        <v>3570</v>
      </c>
      <c r="O23" s="8">
        <f>D23/2.32</f>
        <v>402.58620689655174</v>
      </c>
      <c r="P23" s="8">
        <f t="shared" ref="P23:Y27" si="2">E23/2.32</f>
        <v>459.48275862068971</v>
      </c>
      <c r="Q23" s="8">
        <f t="shared" si="2"/>
        <v>497.84482758620692</v>
      </c>
      <c r="R23" s="8">
        <f t="shared" si="2"/>
        <v>531.89655172413802</v>
      </c>
      <c r="S23" s="8">
        <f t="shared" si="2"/>
        <v>631.4655172413793</v>
      </c>
      <c r="T23" s="8">
        <f t="shared" si="2"/>
        <v>669.82758620689663</v>
      </c>
      <c r="U23" s="8">
        <f t="shared" si="2"/>
        <v>769.39655172413802</v>
      </c>
      <c r="V23" s="8">
        <f t="shared" si="2"/>
        <v>914.22413793103453</v>
      </c>
      <c r="W23" s="8">
        <f t="shared" si="2"/>
        <v>1142.6724137931035</v>
      </c>
      <c r="X23" s="8">
        <f t="shared" si="2"/>
        <v>1370.6896551724139</v>
      </c>
      <c r="Y23" s="8">
        <f t="shared" si="2"/>
        <v>1538.793103448276</v>
      </c>
      <c r="Z23" s="8"/>
      <c r="AA23" s="8"/>
      <c r="AB23" s="8"/>
      <c r="AD23" s="22"/>
      <c r="AE23" s="23"/>
      <c r="AF23" s="24"/>
      <c r="AG23" s="24"/>
      <c r="AH23" s="24"/>
      <c r="AI23" s="24"/>
      <c r="AJ23" s="23"/>
      <c r="AK23" s="24"/>
      <c r="AL23" s="23"/>
      <c r="AM23" s="24"/>
      <c r="AN23" s="24"/>
      <c r="AO23" s="11"/>
      <c r="AP23" s="11"/>
    </row>
    <row r="24" spans="1:43" ht="19.5" customHeight="1">
      <c r="A24" s="103" t="s">
        <v>29</v>
      </c>
      <c r="B24" s="50"/>
      <c r="C24" s="50"/>
      <c r="D24" s="14">
        <v>767</v>
      </c>
      <c r="E24" s="14">
        <v>1008</v>
      </c>
      <c r="F24" s="14">
        <v>1097</v>
      </c>
      <c r="G24" s="14">
        <v>1134</v>
      </c>
      <c r="H24" s="14">
        <v>1407</v>
      </c>
      <c r="I24" s="14">
        <v>1486</v>
      </c>
      <c r="J24" s="14">
        <v>1669</v>
      </c>
      <c r="K24" s="14">
        <v>1815</v>
      </c>
      <c r="L24" s="14">
        <v>2359</v>
      </c>
      <c r="M24" s="14">
        <v>2828</v>
      </c>
      <c r="N24" s="116">
        <v>3299</v>
      </c>
      <c r="O24" s="8">
        <f t="shared" ref="O24:O27" si="3">D24/2.32</f>
        <v>330.60344827586209</v>
      </c>
      <c r="P24" s="8">
        <f t="shared" si="2"/>
        <v>434.48275862068971</v>
      </c>
      <c r="Q24" s="8">
        <f t="shared" si="2"/>
        <v>472.84482758620692</v>
      </c>
      <c r="R24" s="8">
        <f t="shared" si="2"/>
        <v>488.79310344827587</v>
      </c>
      <c r="S24" s="8">
        <f t="shared" si="2"/>
        <v>606.4655172413793</v>
      </c>
      <c r="T24" s="8">
        <f t="shared" si="2"/>
        <v>640.51724137931035</v>
      </c>
      <c r="U24" s="8">
        <f t="shared" si="2"/>
        <v>719.39655172413802</v>
      </c>
      <c r="V24" s="8">
        <f t="shared" si="2"/>
        <v>782.32758620689663</v>
      </c>
      <c r="W24" s="8">
        <f t="shared" si="2"/>
        <v>1016.8103448275863</v>
      </c>
      <c r="X24" s="8">
        <f t="shared" si="2"/>
        <v>1218.9655172413793</v>
      </c>
      <c r="Y24" s="8">
        <f t="shared" si="2"/>
        <v>1421.9827586206898</v>
      </c>
      <c r="Z24" s="8"/>
      <c r="AA24" s="8"/>
      <c r="AB24" s="8"/>
      <c r="AD24" s="22"/>
      <c r="AE24" s="25"/>
      <c r="AF24" s="24"/>
      <c r="AG24" s="24"/>
      <c r="AH24" s="24"/>
      <c r="AI24" s="24"/>
      <c r="AJ24" s="23"/>
      <c r="AK24" s="24"/>
      <c r="AL24" s="23"/>
      <c r="AM24" s="24"/>
      <c r="AN24" s="24"/>
      <c r="AO24" s="11"/>
      <c r="AP24" s="11"/>
    </row>
    <row r="25" spans="1:43" ht="19.5" customHeight="1">
      <c r="A25" s="103" t="s">
        <v>30</v>
      </c>
      <c r="B25" s="50"/>
      <c r="C25" s="50"/>
      <c r="D25" s="10">
        <v>745</v>
      </c>
      <c r="E25" s="10">
        <v>872</v>
      </c>
      <c r="F25" s="10">
        <v>1024</v>
      </c>
      <c r="G25" s="10">
        <v>1129</v>
      </c>
      <c r="H25" s="10">
        <v>1376</v>
      </c>
      <c r="I25" s="10">
        <v>1460</v>
      </c>
      <c r="J25" s="10">
        <v>1612</v>
      </c>
      <c r="K25" s="10">
        <v>1743</v>
      </c>
      <c r="L25" s="10">
        <v>2311</v>
      </c>
      <c r="M25" s="10">
        <v>2773</v>
      </c>
      <c r="N25" s="117">
        <v>3234</v>
      </c>
      <c r="O25" s="8">
        <f t="shared" si="3"/>
        <v>321.12068965517244</v>
      </c>
      <c r="P25" s="8">
        <f t="shared" si="2"/>
        <v>375.86206896551727</v>
      </c>
      <c r="Q25" s="8">
        <f t="shared" si="2"/>
        <v>441.37931034482762</v>
      </c>
      <c r="R25" s="8">
        <f t="shared" si="2"/>
        <v>486.63793103448279</v>
      </c>
      <c r="S25" s="8">
        <f t="shared" si="2"/>
        <v>593.10344827586209</v>
      </c>
      <c r="T25" s="8">
        <f t="shared" si="2"/>
        <v>629.31034482758628</v>
      </c>
      <c r="U25" s="8">
        <f t="shared" si="2"/>
        <v>694.82758620689663</v>
      </c>
      <c r="V25" s="8">
        <f t="shared" si="2"/>
        <v>751.29310344827593</v>
      </c>
      <c r="W25" s="8">
        <f t="shared" si="2"/>
        <v>996.12068965517244</v>
      </c>
      <c r="X25" s="8">
        <f t="shared" si="2"/>
        <v>1195.2586206896553</v>
      </c>
      <c r="Y25" s="8">
        <f t="shared" si="2"/>
        <v>1393.9655172413793</v>
      </c>
      <c r="Z25" s="8"/>
      <c r="AA25" s="8"/>
      <c r="AB25" s="8"/>
      <c r="AD25" s="22"/>
      <c r="AE25" s="25"/>
      <c r="AF25" s="24"/>
      <c r="AG25" s="24"/>
      <c r="AH25" s="24"/>
      <c r="AI25" s="24"/>
      <c r="AJ25" s="23"/>
      <c r="AK25" s="24"/>
      <c r="AL25" s="23"/>
      <c r="AM25" s="24"/>
      <c r="AN25" s="24"/>
      <c r="AO25" s="11"/>
      <c r="AP25" s="11"/>
    </row>
    <row r="26" spans="1:43" ht="19.5" customHeight="1">
      <c r="A26" s="103" t="s">
        <v>31</v>
      </c>
      <c r="B26" s="50"/>
      <c r="C26" s="50"/>
      <c r="D26" s="14">
        <v>693</v>
      </c>
      <c r="E26" s="14">
        <v>730</v>
      </c>
      <c r="F26" s="14">
        <v>849</v>
      </c>
      <c r="G26" s="14">
        <v>975</v>
      </c>
      <c r="H26" s="14">
        <v>1195</v>
      </c>
      <c r="I26" s="14">
        <v>1300</v>
      </c>
      <c r="J26" s="14">
        <v>1390</v>
      </c>
      <c r="K26" s="14">
        <v>1565</v>
      </c>
      <c r="L26" s="14">
        <v>1920</v>
      </c>
      <c r="M26" s="14">
        <v>2300</v>
      </c>
      <c r="N26" s="116">
        <v>2755</v>
      </c>
      <c r="O26" s="8">
        <f t="shared" si="3"/>
        <v>298.70689655172418</v>
      </c>
      <c r="P26" s="8">
        <f t="shared" si="2"/>
        <v>314.65517241379314</v>
      </c>
      <c r="Q26" s="8">
        <f t="shared" si="2"/>
        <v>365.94827586206901</v>
      </c>
      <c r="R26" s="8">
        <f t="shared" si="2"/>
        <v>420.25862068965517</v>
      </c>
      <c r="S26" s="8">
        <f t="shared" si="2"/>
        <v>515.08620689655174</v>
      </c>
      <c r="T26" s="8">
        <f t="shared" si="2"/>
        <v>560.34482758620697</v>
      </c>
      <c r="U26" s="8">
        <f t="shared" si="2"/>
        <v>599.13793103448279</v>
      </c>
      <c r="V26" s="8">
        <f t="shared" si="2"/>
        <v>674.56896551724139</v>
      </c>
      <c r="W26" s="8">
        <f t="shared" si="2"/>
        <v>827.58620689655174</v>
      </c>
      <c r="X26" s="8">
        <f t="shared" si="2"/>
        <v>991.37931034482767</v>
      </c>
      <c r="Y26" s="8">
        <f t="shared" si="2"/>
        <v>1187.5</v>
      </c>
      <c r="Z26" s="8"/>
      <c r="AA26" s="8"/>
      <c r="AB26" s="8"/>
      <c r="AD26" s="26"/>
      <c r="AE26" s="25"/>
      <c r="AF26" s="22"/>
      <c r="AG26" s="22"/>
      <c r="AH26" s="24"/>
      <c r="AI26" s="24"/>
      <c r="AJ26" s="23"/>
      <c r="AK26" s="24"/>
      <c r="AL26" s="23"/>
      <c r="AM26" s="24"/>
      <c r="AN26" s="24"/>
      <c r="AO26" s="11"/>
      <c r="AP26" s="11"/>
    </row>
    <row r="27" spans="1:43" ht="19.5" customHeight="1">
      <c r="A27" s="103" t="s">
        <v>32</v>
      </c>
      <c r="B27" s="50"/>
      <c r="C27" s="50"/>
      <c r="D27" s="14">
        <v>490</v>
      </c>
      <c r="E27" s="14">
        <v>570</v>
      </c>
      <c r="F27" s="14"/>
      <c r="G27" s="14">
        <v>820</v>
      </c>
      <c r="H27" s="14">
        <v>900</v>
      </c>
      <c r="I27" s="14">
        <v>1060</v>
      </c>
      <c r="J27" s="14">
        <v>1155</v>
      </c>
      <c r="K27" s="14">
        <v>1470</v>
      </c>
      <c r="L27" s="14">
        <v>1860</v>
      </c>
      <c r="M27" s="14">
        <v>2205</v>
      </c>
      <c r="N27" s="116">
        <v>2490</v>
      </c>
      <c r="O27" s="8">
        <f t="shared" si="3"/>
        <v>211.20689655172416</v>
      </c>
      <c r="P27" s="8">
        <f t="shared" si="2"/>
        <v>245.68965517241381</v>
      </c>
      <c r="Q27" s="8">
        <f t="shared" si="2"/>
        <v>0</v>
      </c>
      <c r="R27" s="8">
        <f t="shared" si="2"/>
        <v>353.44827586206901</v>
      </c>
      <c r="S27" s="8">
        <f t="shared" si="2"/>
        <v>387.93103448275866</v>
      </c>
      <c r="T27" s="8">
        <f t="shared" si="2"/>
        <v>456.89655172413796</v>
      </c>
      <c r="U27" s="8">
        <f t="shared" si="2"/>
        <v>497.84482758620692</v>
      </c>
      <c r="V27" s="8">
        <f t="shared" si="2"/>
        <v>633.62068965517244</v>
      </c>
      <c r="W27" s="8">
        <f t="shared" si="2"/>
        <v>801.72413793103453</v>
      </c>
      <c r="X27" s="8">
        <f t="shared" si="2"/>
        <v>950.43103448275872</v>
      </c>
      <c r="Y27" s="8">
        <f t="shared" si="2"/>
        <v>1073.2758620689656</v>
      </c>
      <c r="Z27" s="8"/>
      <c r="AA27" s="8"/>
      <c r="AB27" s="8"/>
      <c r="AD27" s="22"/>
      <c r="AE27" s="25"/>
      <c r="AF27" s="22"/>
      <c r="AG27" s="22"/>
      <c r="AH27" s="27"/>
      <c r="AI27" s="22"/>
      <c r="AJ27" s="25"/>
      <c r="AK27" s="24"/>
      <c r="AL27" s="23"/>
      <c r="AM27" s="24"/>
      <c r="AN27" s="24"/>
      <c r="AO27" s="11"/>
      <c r="AP27" s="11"/>
    </row>
    <row r="28" spans="1:43">
      <c r="A28" s="118" t="s">
        <v>12</v>
      </c>
      <c r="B28" s="57"/>
      <c r="C28" s="57"/>
      <c r="D28" s="3">
        <v>143.33000000000001</v>
      </c>
      <c r="E28" s="3">
        <v>107.5</v>
      </c>
      <c r="F28" s="3">
        <v>86</v>
      </c>
      <c r="G28" s="3">
        <v>71.67</v>
      </c>
      <c r="H28" s="3">
        <v>53.75</v>
      </c>
      <c r="I28" s="3">
        <v>47.78</v>
      </c>
      <c r="J28" s="3">
        <v>43</v>
      </c>
      <c r="K28" s="3">
        <v>35.83</v>
      </c>
      <c r="L28" s="3">
        <v>28.67</v>
      </c>
      <c r="M28" s="3">
        <v>23.89</v>
      </c>
      <c r="N28" s="111">
        <v>20.48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43" ht="18" customHeight="1">
      <c r="A29" s="107" t="s">
        <v>63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108"/>
      <c r="O29" s="8" t="s">
        <v>67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43" ht="18">
      <c r="A30" s="119" t="s">
        <v>0</v>
      </c>
      <c r="B30" s="4" t="s">
        <v>14</v>
      </c>
      <c r="C30" s="4" t="s">
        <v>16</v>
      </c>
      <c r="D30" s="4" t="s">
        <v>17</v>
      </c>
      <c r="E30" s="4" t="s">
        <v>18</v>
      </c>
      <c r="F30" s="4" t="s">
        <v>20</v>
      </c>
      <c r="G30" s="4" t="s">
        <v>22</v>
      </c>
      <c r="H30" s="4" t="s">
        <v>24</v>
      </c>
      <c r="I30" s="4" t="s">
        <v>27</v>
      </c>
      <c r="J30" s="4" t="s">
        <v>33</v>
      </c>
      <c r="K30" s="4" t="s">
        <v>34</v>
      </c>
      <c r="L30" s="4" t="s">
        <v>35</v>
      </c>
      <c r="M30" s="4" t="s">
        <v>36</v>
      </c>
      <c r="N30" s="120" t="s">
        <v>37</v>
      </c>
      <c r="O30" s="8" t="s">
        <v>14</v>
      </c>
      <c r="P30" s="8" t="s">
        <v>16</v>
      </c>
      <c r="Q30" s="8" t="s">
        <v>17</v>
      </c>
      <c r="R30" s="8" t="s">
        <v>18</v>
      </c>
      <c r="S30" s="8" t="s">
        <v>20</v>
      </c>
      <c r="T30" s="8" t="s">
        <v>22</v>
      </c>
      <c r="U30" s="8" t="s">
        <v>24</v>
      </c>
      <c r="V30" s="8" t="s">
        <v>27</v>
      </c>
      <c r="W30" s="8" t="s">
        <v>33</v>
      </c>
      <c r="X30" s="8" t="s">
        <v>34</v>
      </c>
      <c r="Y30" s="8" t="s">
        <v>35</v>
      </c>
      <c r="Z30" s="8" t="s">
        <v>36</v>
      </c>
      <c r="AA30" s="8" t="s">
        <v>37</v>
      </c>
      <c r="AB30" s="8"/>
      <c r="AC30" s="19"/>
      <c r="AD30" s="28"/>
      <c r="AE30" s="28"/>
      <c r="AF30" s="29"/>
      <c r="AG30" s="19"/>
      <c r="AH30" s="20"/>
      <c r="AI30" s="21"/>
      <c r="AJ30" s="20"/>
      <c r="AK30" s="21"/>
      <c r="AL30" s="20"/>
      <c r="AM30" s="21"/>
      <c r="AN30" s="20"/>
      <c r="AO30" s="21"/>
      <c r="AP30" s="20"/>
      <c r="AQ30" s="20"/>
    </row>
    <row r="31" spans="1:43" ht="19.5" customHeight="1">
      <c r="A31" s="121" t="s">
        <v>28</v>
      </c>
      <c r="B31" s="10">
        <v>2160</v>
      </c>
      <c r="C31" s="10">
        <v>2550</v>
      </c>
      <c r="D31" s="10"/>
      <c r="E31" s="10">
        <v>3460</v>
      </c>
      <c r="F31" s="10">
        <v>4275</v>
      </c>
      <c r="G31" s="10">
        <v>4785</v>
      </c>
      <c r="H31" s="10">
        <v>5545</v>
      </c>
      <c r="I31" s="10">
        <v>6425</v>
      </c>
      <c r="J31" s="10">
        <v>7600</v>
      </c>
      <c r="K31" s="10">
        <v>8565</v>
      </c>
      <c r="L31" s="10">
        <v>9470</v>
      </c>
      <c r="M31" s="10">
        <v>10060</v>
      </c>
      <c r="N31" s="117">
        <v>10460</v>
      </c>
      <c r="O31" s="8" t="e">
        <f>#REF!/2.97</f>
        <v>#REF!</v>
      </c>
      <c r="P31" s="8" t="e">
        <f>#REF!/2.97</f>
        <v>#REF!</v>
      </c>
      <c r="Q31" s="8" t="e">
        <f>#REF!/2.97</f>
        <v>#REF!</v>
      </c>
      <c r="R31" s="8" t="e">
        <f>#REF!/2.97</f>
        <v>#REF!</v>
      </c>
      <c r="S31" s="8" t="e">
        <f>#REF!/2.97</f>
        <v>#REF!</v>
      </c>
      <c r="T31" s="8" t="e">
        <f>#REF!/2.97</f>
        <v>#REF!</v>
      </c>
      <c r="U31" s="8" t="e">
        <f>#REF!/2.97</f>
        <v>#REF!</v>
      </c>
      <c r="V31" s="8" t="e">
        <f>#REF!/2.97</f>
        <v>#REF!</v>
      </c>
      <c r="W31" s="8" t="e">
        <f>#REF!/2.97</f>
        <v>#REF!</v>
      </c>
      <c r="X31" s="8" t="e">
        <f>#REF!/2.97</f>
        <v>#REF!</v>
      </c>
      <c r="Y31" s="8" t="e">
        <f>#REF!/2.97</f>
        <v>#REF!</v>
      </c>
      <c r="Z31" s="8" t="e">
        <f>#REF!/2.97</f>
        <v>#REF!</v>
      </c>
      <c r="AA31" s="8" t="e">
        <f>#REF!/2.97</f>
        <v>#REF!</v>
      </c>
      <c r="AB31" s="8"/>
      <c r="AC31" s="31"/>
      <c r="AD31" s="30"/>
      <c r="AE31" s="27"/>
      <c r="AF31" s="24"/>
      <c r="AG31" s="31"/>
      <c r="AH31" s="24"/>
      <c r="AI31" s="23"/>
      <c r="AJ31" s="24"/>
      <c r="AK31" s="24"/>
      <c r="AL31" s="24"/>
      <c r="AM31" s="23"/>
      <c r="AN31" s="24"/>
      <c r="AO31" s="23"/>
      <c r="AP31" s="24"/>
      <c r="AQ31" s="23"/>
    </row>
    <row r="32" spans="1:43" ht="19.5" customHeight="1">
      <c r="A32" s="122" t="s">
        <v>29</v>
      </c>
      <c r="B32" s="10">
        <v>1822</v>
      </c>
      <c r="C32" s="10">
        <v>1911</v>
      </c>
      <c r="D32" s="10"/>
      <c r="E32" s="10">
        <v>2370</v>
      </c>
      <c r="F32" s="10">
        <v>2877</v>
      </c>
      <c r="G32" s="10">
        <v>3339</v>
      </c>
      <c r="H32" s="10">
        <v>3869</v>
      </c>
      <c r="I32" s="10">
        <v>4515</v>
      </c>
      <c r="J32" s="10">
        <v>5537</v>
      </c>
      <c r="K32" s="10">
        <v>6542</v>
      </c>
      <c r="L32" s="10">
        <v>7349</v>
      </c>
      <c r="M32" s="10">
        <v>8401</v>
      </c>
      <c r="N32" s="117">
        <v>9413</v>
      </c>
      <c r="O32" s="8" t="e">
        <f>#REF!/2.97</f>
        <v>#REF!</v>
      </c>
      <c r="P32" s="8" t="e">
        <f>#REF!/2.97</f>
        <v>#REF!</v>
      </c>
      <c r="Q32" s="8" t="e">
        <f>#REF!/2.97</f>
        <v>#REF!</v>
      </c>
      <c r="R32" s="8" t="e">
        <f>#REF!/2.97</f>
        <v>#REF!</v>
      </c>
      <c r="S32" s="8" t="e">
        <f>#REF!/2.97</f>
        <v>#REF!</v>
      </c>
      <c r="T32" s="8" t="e">
        <f>#REF!/2.97</f>
        <v>#REF!</v>
      </c>
      <c r="U32" s="8" t="e">
        <f>#REF!/2.97</f>
        <v>#REF!</v>
      </c>
      <c r="V32" s="8" t="e">
        <f>#REF!/2.97</f>
        <v>#REF!</v>
      </c>
      <c r="W32" s="8" t="e">
        <f>#REF!/2.97</f>
        <v>#REF!</v>
      </c>
      <c r="X32" s="8" t="e">
        <f>#REF!/2.97</f>
        <v>#REF!</v>
      </c>
      <c r="Y32" s="8" t="e">
        <f>#REF!/2.97</f>
        <v>#REF!</v>
      </c>
      <c r="Z32" s="8" t="e">
        <f>#REF!/2.97</f>
        <v>#REF!</v>
      </c>
      <c r="AA32" s="8" t="e">
        <f>#REF!/2.97</f>
        <v>#REF!</v>
      </c>
      <c r="AB32" s="8"/>
      <c r="AC32" s="31"/>
      <c r="AD32" s="30"/>
      <c r="AE32" s="27"/>
      <c r="AF32" s="24"/>
      <c r="AG32" s="31"/>
      <c r="AH32" s="24"/>
      <c r="AI32" s="23"/>
      <c r="AJ32" s="24"/>
      <c r="AK32" s="24"/>
      <c r="AL32" s="24"/>
      <c r="AM32" s="23"/>
      <c r="AN32" s="24"/>
      <c r="AO32" s="23"/>
      <c r="AP32" s="24"/>
      <c r="AQ32" s="24"/>
    </row>
    <row r="33" spans="1:43" ht="19.5" customHeight="1">
      <c r="A33" s="122" t="s">
        <v>30</v>
      </c>
      <c r="B33" s="10">
        <v>1654</v>
      </c>
      <c r="C33" s="10">
        <v>1852</v>
      </c>
      <c r="D33" s="10"/>
      <c r="E33" s="10">
        <v>2294</v>
      </c>
      <c r="F33" s="10">
        <v>2798</v>
      </c>
      <c r="G33" s="10">
        <v>3181</v>
      </c>
      <c r="H33" s="10">
        <v>3722</v>
      </c>
      <c r="I33" s="10">
        <v>4326</v>
      </c>
      <c r="J33" s="10">
        <v>5441</v>
      </c>
      <c r="K33" s="10">
        <v>6458</v>
      </c>
      <c r="L33" s="10">
        <v>7166</v>
      </c>
      <c r="M33" s="10">
        <v>8060</v>
      </c>
      <c r="N33" s="117">
        <v>8515</v>
      </c>
      <c r="O33" s="8" t="e">
        <f>#REF!/2.97</f>
        <v>#REF!</v>
      </c>
      <c r="P33" s="8" t="e">
        <f>#REF!/2.97</f>
        <v>#REF!</v>
      </c>
      <c r="Q33" s="8" t="e">
        <f>#REF!/2.97</f>
        <v>#REF!</v>
      </c>
      <c r="R33" s="8" t="e">
        <f>#REF!/2.97</f>
        <v>#REF!</v>
      </c>
      <c r="S33" s="8" t="e">
        <f>#REF!/2.97</f>
        <v>#REF!</v>
      </c>
      <c r="T33" s="8" t="e">
        <f>#REF!/2.97</f>
        <v>#REF!</v>
      </c>
      <c r="U33" s="8" t="e">
        <f>#REF!/2.97</f>
        <v>#REF!</v>
      </c>
      <c r="V33" s="8" t="e">
        <f>#REF!/2.97</f>
        <v>#REF!</v>
      </c>
      <c r="W33" s="8" t="e">
        <f>#REF!/2.97</f>
        <v>#REF!</v>
      </c>
      <c r="X33" s="8" t="e">
        <f>#REF!/2.97</f>
        <v>#REF!</v>
      </c>
      <c r="Y33" s="8" t="e">
        <f>#REF!/2.97</f>
        <v>#REF!</v>
      </c>
      <c r="Z33" s="8" t="e">
        <f>#REF!/2.97</f>
        <v>#REF!</v>
      </c>
      <c r="AA33" s="8" t="e">
        <f>#REF!/2.97</f>
        <v>#REF!</v>
      </c>
      <c r="AB33" s="8"/>
      <c r="AC33" s="31"/>
      <c r="AD33" s="30"/>
      <c r="AE33" s="27"/>
      <c r="AF33" s="24"/>
      <c r="AG33" s="31"/>
      <c r="AH33" s="24"/>
      <c r="AI33" s="23"/>
      <c r="AJ33" s="24"/>
      <c r="AK33" s="24"/>
      <c r="AL33" s="24"/>
      <c r="AM33" s="23"/>
      <c r="AN33" s="24"/>
      <c r="AO33" s="23"/>
      <c r="AP33" s="24"/>
      <c r="AQ33" s="24"/>
    </row>
    <row r="34" spans="1:43" ht="19.5" customHeight="1">
      <c r="A34" s="123" t="s">
        <v>31</v>
      </c>
      <c r="B34" s="10">
        <v>1550</v>
      </c>
      <c r="C34" s="10">
        <v>1764</v>
      </c>
      <c r="D34" s="10"/>
      <c r="E34" s="10">
        <v>2188</v>
      </c>
      <c r="F34" s="10">
        <v>2667</v>
      </c>
      <c r="G34" s="10">
        <v>3124</v>
      </c>
      <c r="H34" s="10">
        <v>3602</v>
      </c>
      <c r="I34" s="10">
        <v>4195</v>
      </c>
      <c r="J34" s="10">
        <v>4914</v>
      </c>
      <c r="K34" s="10">
        <v>5812</v>
      </c>
      <c r="L34" s="10">
        <v>6752</v>
      </c>
      <c r="M34" s="10">
        <v>6990</v>
      </c>
      <c r="N34" s="117">
        <v>8006</v>
      </c>
      <c r="O34" s="8" t="e">
        <f>#REF!/2.97</f>
        <v>#REF!</v>
      </c>
      <c r="P34" s="8" t="e">
        <f>#REF!/2.97</f>
        <v>#REF!</v>
      </c>
      <c r="Q34" s="8" t="e">
        <f>#REF!/2.97</f>
        <v>#REF!</v>
      </c>
      <c r="R34" s="8" t="e">
        <f>#REF!/2.97</f>
        <v>#REF!</v>
      </c>
      <c r="S34" s="8" t="e">
        <f>#REF!/2.97</f>
        <v>#REF!</v>
      </c>
      <c r="T34" s="8" t="e">
        <f>#REF!/2.97</f>
        <v>#REF!</v>
      </c>
      <c r="U34" s="8" t="e">
        <f>#REF!/2.97</f>
        <v>#REF!</v>
      </c>
      <c r="V34" s="8" t="e">
        <f>#REF!/2.97</f>
        <v>#REF!</v>
      </c>
      <c r="W34" s="8" t="e">
        <f>#REF!/2.97</f>
        <v>#REF!</v>
      </c>
      <c r="X34" s="8" t="e">
        <f>#REF!/2.97</f>
        <v>#REF!</v>
      </c>
      <c r="Y34" s="8" t="e">
        <f>#REF!/2.97</f>
        <v>#REF!</v>
      </c>
      <c r="Z34" s="8" t="e">
        <f>#REF!/2.97</f>
        <v>#REF!</v>
      </c>
      <c r="AA34" s="8" t="e">
        <f>#REF!/2.97</f>
        <v>#REF!</v>
      </c>
      <c r="AB34" s="8"/>
      <c r="AD34" s="30"/>
      <c r="AE34" s="27"/>
      <c r="AF34" s="24"/>
      <c r="AG34" s="31"/>
      <c r="AH34" s="24"/>
      <c r="AI34" s="23"/>
      <c r="AJ34" s="24"/>
      <c r="AK34" s="24"/>
      <c r="AL34" s="24"/>
      <c r="AM34" s="23"/>
      <c r="AN34" s="24"/>
      <c r="AO34" s="23"/>
      <c r="AP34" s="24"/>
      <c r="AQ34" s="24"/>
    </row>
    <row r="35" spans="1:43" ht="19.5" customHeight="1">
      <c r="A35" s="122" t="s">
        <v>32</v>
      </c>
      <c r="B35" s="10">
        <v>1439</v>
      </c>
      <c r="C35" s="10">
        <v>1612</v>
      </c>
      <c r="D35" s="10">
        <v>2142</v>
      </c>
      <c r="E35" s="10">
        <v>2042</v>
      </c>
      <c r="F35" s="10">
        <v>2478</v>
      </c>
      <c r="G35" s="10">
        <v>2861</v>
      </c>
      <c r="H35" s="10">
        <v>3349</v>
      </c>
      <c r="I35" s="10">
        <v>3906</v>
      </c>
      <c r="J35" s="10">
        <v>4552</v>
      </c>
      <c r="K35" s="10">
        <v>5292</v>
      </c>
      <c r="L35" s="10">
        <v>5826</v>
      </c>
      <c r="M35" s="10">
        <v>6269</v>
      </c>
      <c r="N35" s="117">
        <v>7232</v>
      </c>
      <c r="O35" s="8" t="e">
        <f>#REF!/2.97</f>
        <v>#REF!</v>
      </c>
      <c r="P35" s="8" t="e">
        <f>#REF!/2.97</f>
        <v>#REF!</v>
      </c>
      <c r="Q35" s="8" t="e">
        <f>#REF!/2.97</f>
        <v>#REF!</v>
      </c>
      <c r="R35" s="8" t="e">
        <f>#REF!/2.97</f>
        <v>#REF!</v>
      </c>
      <c r="S35" s="8" t="e">
        <f>#REF!/2.97</f>
        <v>#REF!</v>
      </c>
      <c r="T35" s="8" t="e">
        <f>#REF!/2.97</f>
        <v>#REF!</v>
      </c>
      <c r="U35" s="8" t="e">
        <f>#REF!/2.97</f>
        <v>#REF!</v>
      </c>
      <c r="V35" s="8" t="e">
        <f>#REF!/2.97</f>
        <v>#REF!</v>
      </c>
      <c r="W35" s="8" t="e">
        <f>#REF!/2.97</f>
        <v>#REF!</v>
      </c>
      <c r="X35" s="8" t="e">
        <f>#REF!/2.97</f>
        <v>#REF!</v>
      </c>
      <c r="Y35" s="8" t="e">
        <f>#REF!/2.97</f>
        <v>#REF!</v>
      </c>
      <c r="Z35" s="8" t="e">
        <f>#REF!/2.97</f>
        <v>#REF!</v>
      </c>
      <c r="AA35" s="8" t="e">
        <f>#REF!/2.97</f>
        <v>#REF!</v>
      </c>
      <c r="AB35" s="8"/>
      <c r="AD35" s="30"/>
      <c r="AE35" s="27"/>
      <c r="AF35" s="24"/>
      <c r="AG35" s="31"/>
      <c r="AH35" s="24"/>
      <c r="AI35" s="23"/>
      <c r="AJ35" s="24"/>
      <c r="AK35" s="24"/>
      <c r="AL35" s="24"/>
      <c r="AM35" s="23"/>
      <c r="AN35" s="24"/>
      <c r="AO35" s="23"/>
      <c r="AP35" s="24"/>
      <c r="AQ35" s="24"/>
    </row>
    <row r="36" spans="1:43" ht="19.5" customHeight="1">
      <c r="A36" s="122" t="s">
        <v>26</v>
      </c>
      <c r="B36" s="10">
        <v>1289</v>
      </c>
      <c r="C36" s="10">
        <v>1323</v>
      </c>
      <c r="D36" s="10"/>
      <c r="E36" s="10">
        <v>1764</v>
      </c>
      <c r="F36" s="10">
        <v>2090</v>
      </c>
      <c r="G36" s="10">
        <v>2446</v>
      </c>
      <c r="H36" s="10">
        <v>2793</v>
      </c>
      <c r="I36" s="10">
        <v>3491</v>
      </c>
      <c r="J36" s="10">
        <v>3969</v>
      </c>
      <c r="K36" s="10">
        <v>4704</v>
      </c>
      <c r="L36" s="10">
        <v>5198</v>
      </c>
      <c r="M36" s="10">
        <v>6006</v>
      </c>
      <c r="N36" s="117">
        <v>7009</v>
      </c>
      <c r="O36" s="8" t="e">
        <f>#REF!/2.97</f>
        <v>#REF!</v>
      </c>
      <c r="P36" s="8" t="e">
        <f>#REF!/2.97</f>
        <v>#REF!</v>
      </c>
      <c r="Q36" s="8" t="e">
        <f>#REF!/2.97</f>
        <v>#REF!</v>
      </c>
      <c r="R36" s="8" t="e">
        <f>#REF!/2.97</f>
        <v>#REF!</v>
      </c>
      <c r="S36" s="8" t="e">
        <f>#REF!/2.97</f>
        <v>#REF!</v>
      </c>
      <c r="T36" s="8" t="e">
        <f>#REF!/2.97</f>
        <v>#REF!</v>
      </c>
      <c r="U36" s="8" t="e">
        <f>#REF!/2.97</f>
        <v>#REF!</v>
      </c>
      <c r="V36" s="8" t="e">
        <f>#REF!/2.97</f>
        <v>#REF!</v>
      </c>
      <c r="W36" s="8" t="e">
        <f>#REF!/2.97</f>
        <v>#REF!</v>
      </c>
      <c r="X36" s="8" t="e">
        <f>#REF!/2.97</f>
        <v>#REF!</v>
      </c>
      <c r="Y36" s="8" t="e">
        <f>#REF!/2.97</f>
        <v>#REF!</v>
      </c>
      <c r="Z36" s="8" t="e">
        <f>#REF!/2.97</f>
        <v>#REF!</v>
      </c>
      <c r="AA36" s="8" t="e">
        <f>#REF!/2.97</f>
        <v>#REF!</v>
      </c>
      <c r="AB36" s="8"/>
      <c r="AD36" s="30"/>
      <c r="AE36" s="27"/>
      <c r="AF36" s="24"/>
      <c r="AG36" s="31"/>
      <c r="AH36" s="24"/>
      <c r="AI36" s="23"/>
      <c r="AJ36" s="24"/>
      <c r="AK36" s="24"/>
      <c r="AL36" s="24"/>
      <c r="AM36" s="23"/>
      <c r="AN36" s="24"/>
      <c r="AO36" s="23"/>
      <c r="AP36" s="24"/>
      <c r="AQ36" s="24"/>
    </row>
    <row r="37" spans="1:43">
      <c r="A37" s="124" t="s">
        <v>12</v>
      </c>
      <c r="B37" s="3">
        <v>83.98</v>
      </c>
      <c r="C37" s="3">
        <v>55.99</v>
      </c>
      <c r="D37" s="3">
        <v>41.99</v>
      </c>
      <c r="E37" s="3">
        <v>37.33</v>
      </c>
      <c r="F37" s="3">
        <v>27.99</v>
      </c>
      <c r="G37" s="3">
        <v>22.4</v>
      </c>
      <c r="H37" s="3">
        <v>18.66</v>
      </c>
      <c r="I37" s="3">
        <v>16</v>
      </c>
      <c r="J37" s="3">
        <v>14</v>
      </c>
      <c r="K37" s="3">
        <v>12.44</v>
      </c>
      <c r="L37" s="3">
        <v>11.2</v>
      </c>
      <c r="M37" s="3">
        <v>9.6</v>
      </c>
      <c r="N37" s="111">
        <v>8.4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43" ht="18" customHeight="1">
      <c r="A38" s="125" t="s">
        <v>80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126"/>
      <c r="O38" s="8" t="s">
        <v>67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43">
      <c r="A39" s="127" t="s">
        <v>0</v>
      </c>
      <c r="B39" s="65"/>
      <c r="C39" s="66"/>
      <c r="D39" s="9" t="s">
        <v>16</v>
      </c>
      <c r="E39" s="9" t="s">
        <v>18</v>
      </c>
      <c r="F39" s="9" t="s">
        <v>20</v>
      </c>
      <c r="G39" s="9" t="s">
        <v>22</v>
      </c>
      <c r="H39" s="9" t="s">
        <v>24</v>
      </c>
      <c r="I39" s="9" t="s">
        <v>27</v>
      </c>
      <c r="J39" s="9" t="s">
        <v>33</v>
      </c>
      <c r="K39" s="89" t="s">
        <v>34</v>
      </c>
      <c r="L39" s="90"/>
      <c r="M39" s="161" t="s">
        <v>35</v>
      </c>
      <c r="N39" s="162"/>
      <c r="O39" s="8" t="s">
        <v>16</v>
      </c>
      <c r="P39" s="8" t="s">
        <v>17</v>
      </c>
      <c r="Q39" s="8" t="s">
        <v>18</v>
      </c>
      <c r="R39" s="8" t="s">
        <v>20</v>
      </c>
      <c r="S39" s="8" t="s">
        <v>22</v>
      </c>
      <c r="T39" s="8" t="s">
        <v>24</v>
      </c>
      <c r="U39" s="8" t="s">
        <v>27</v>
      </c>
      <c r="V39" s="8" t="s">
        <v>33</v>
      </c>
      <c r="W39" s="8" t="s">
        <v>34</v>
      </c>
      <c r="X39" s="8" t="s">
        <v>35</v>
      </c>
      <c r="Y39" s="8" t="s">
        <v>36</v>
      </c>
      <c r="Z39" s="8" t="s">
        <v>37</v>
      </c>
      <c r="AA39" s="8"/>
      <c r="AB39" s="8"/>
    </row>
    <row r="40" spans="1:43" ht="19.5" customHeight="1">
      <c r="A40" s="128" t="s">
        <v>28</v>
      </c>
      <c r="B40" s="67"/>
      <c r="C40" s="68"/>
      <c r="D40" s="17">
        <v>4960</v>
      </c>
      <c r="E40" s="17">
        <v>6331</v>
      </c>
      <c r="F40" s="17">
        <v>7703</v>
      </c>
      <c r="G40" s="17">
        <v>8928</v>
      </c>
      <c r="H40" s="17">
        <v>10240</v>
      </c>
      <c r="I40" s="17">
        <v>12065</v>
      </c>
      <c r="J40" s="156">
        <v>15346</v>
      </c>
      <c r="K40" s="157">
        <v>17272</v>
      </c>
      <c r="L40" s="158"/>
      <c r="M40" s="157">
        <v>19735</v>
      </c>
      <c r="N40" s="168"/>
      <c r="O40" s="8" t="e">
        <f>#REF!/4.65</f>
        <v>#REF!</v>
      </c>
      <c r="P40" s="8" t="e">
        <f>#REF!/4.65</f>
        <v>#REF!</v>
      </c>
      <c r="Q40" s="8" t="e">
        <f>#REF!/4.65</f>
        <v>#REF!</v>
      </c>
      <c r="R40" s="8" t="e">
        <f>#REF!/4.65</f>
        <v>#REF!</v>
      </c>
      <c r="S40" s="8" t="e">
        <f>#REF!/4.65</f>
        <v>#REF!</v>
      </c>
      <c r="T40" s="8" t="e">
        <f>#REF!/4.65</f>
        <v>#REF!</v>
      </c>
      <c r="U40" s="8" t="e">
        <f>#REF!/4.65</f>
        <v>#REF!</v>
      </c>
      <c r="V40" s="8" t="e">
        <f>#REF!/4.65</f>
        <v>#REF!</v>
      </c>
      <c r="W40" s="8" t="e">
        <f>#REF!/4.65</f>
        <v>#REF!</v>
      </c>
      <c r="X40" s="8" t="e">
        <f>#REF!/4.65</f>
        <v>#REF!</v>
      </c>
      <c r="Y40" s="8" t="e">
        <f>#REF!/4.65</f>
        <v>#REF!</v>
      </c>
      <c r="Z40" s="8" t="e">
        <f>#REF!/4.65</f>
        <v>#REF!</v>
      </c>
      <c r="AA40" s="8"/>
      <c r="AB40" s="8"/>
    </row>
    <row r="41" spans="1:43" ht="19.5" customHeight="1">
      <c r="A41" s="129" t="s">
        <v>29</v>
      </c>
      <c r="B41" s="69"/>
      <c r="C41" s="70"/>
      <c r="D41" s="17">
        <v>3368</v>
      </c>
      <c r="E41" s="17">
        <v>4160</v>
      </c>
      <c r="F41" s="17">
        <v>5200</v>
      </c>
      <c r="G41" s="17">
        <v>6071</v>
      </c>
      <c r="H41" s="17">
        <v>7118</v>
      </c>
      <c r="I41" s="17">
        <v>8352</v>
      </c>
      <c r="J41" s="17">
        <v>9305</v>
      </c>
      <c r="K41" s="157">
        <v>10473</v>
      </c>
      <c r="L41" s="158"/>
      <c r="M41" s="157">
        <v>11966</v>
      </c>
      <c r="N41" s="168"/>
      <c r="O41" s="8" t="e">
        <f>#REF!/4.65</f>
        <v>#REF!</v>
      </c>
      <c r="P41" s="8" t="e">
        <f>#REF!/4.65</f>
        <v>#REF!</v>
      </c>
      <c r="Q41" s="8" t="e">
        <f>#REF!/4.65</f>
        <v>#REF!</v>
      </c>
      <c r="R41" s="8" t="e">
        <f>#REF!/4.65</f>
        <v>#REF!</v>
      </c>
      <c r="S41" s="8" t="e">
        <f>#REF!/4.65</f>
        <v>#REF!</v>
      </c>
      <c r="T41" s="8" t="e">
        <f>#REF!/4.65</f>
        <v>#REF!</v>
      </c>
      <c r="U41" s="8" t="e">
        <f>#REF!/4.65</f>
        <v>#REF!</v>
      </c>
      <c r="V41" s="8" t="e">
        <f>#REF!/4.65</f>
        <v>#REF!</v>
      </c>
      <c r="W41" s="8" t="e">
        <f>#REF!/4.65</f>
        <v>#REF!</v>
      </c>
      <c r="X41" s="8" t="e">
        <f>#REF!/4.65</f>
        <v>#REF!</v>
      </c>
      <c r="Y41" s="8" t="e">
        <f>#REF!/4.65</f>
        <v>#REF!</v>
      </c>
      <c r="Z41" s="8" t="e">
        <f>#REF!/4.65</f>
        <v>#REF!</v>
      </c>
      <c r="AA41" s="8"/>
      <c r="AB41" s="8"/>
    </row>
    <row r="42" spans="1:43" ht="19.5" customHeight="1">
      <c r="A42" s="129" t="s">
        <v>30</v>
      </c>
      <c r="B42" s="69"/>
      <c r="C42" s="70"/>
      <c r="D42" s="17">
        <v>3194</v>
      </c>
      <c r="E42" s="17">
        <v>3750</v>
      </c>
      <c r="F42" s="17">
        <v>4684</v>
      </c>
      <c r="G42" s="17">
        <v>5329</v>
      </c>
      <c r="H42" s="17">
        <v>6259</v>
      </c>
      <c r="I42" s="17">
        <v>7385</v>
      </c>
      <c r="J42" s="17">
        <v>8613</v>
      </c>
      <c r="K42" s="157">
        <v>9695</v>
      </c>
      <c r="L42" s="158"/>
      <c r="M42" s="157">
        <v>11064</v>
      </c>
      <c r="N42" s="168"/>
      <c r="O42" s="8" t="e">
        <f>#REF!/4.65</f>
        <v>#REF!</v>
      </c>
      <c r="P42" s="8" t="e">
        <f>#REF!/4.65</f>
        <v>#REF!</v>
      </c>
      <c r="Q42" s="8" t="e">
        <f>#REF!/4.65</f>
        <v>#REF!</v>
      </c>
      <c r="R42" s="8" t="e">
        <f>#REF!/4.65</f>
        <v>#REF!</v>
      </c>
      <c r="S42" s="8" t="e">
        <f>#REF!/4.65</f>
        <v>#REF!</v>
      </c>
      <c r="T42" s="8" t="e">
        <f>#REF!/4.65</f>
        <v>#REF!</v>
      </c>
      <c r="U42" s="8" t="e">
        <f>#REF!/4.65</f>
        <v>#REF!</v>
      </c>
      <c r="V42" s="8" t="e">
        <f>#REF!/4.65</f>
        <v>#REF!</v>
      </c>
      <c r="W42" s="8" t="e">
        <f>#REF!/4.65</f>
        <v>#REF!</v>
      </c>
      <c r="X42" s="8" t="e">
        <f>#REF!/4.65</f>
        <v>#REF!</v>
      </c>
      <c r="Y42" s="8" t="e">
        <f>#REF!/4.65</f>
        <v>#REF!</v>
      </c>
      <c r="Z42" s="8" t="e">
        <f>#REF!/4.65</f>
        <v>#REF!</v>
      </c>
      <c r="AA42" s="8"/>
      <c r="AB42" s="8"/>
    </row>
    <row r="43" spans="1:43" ht="19.5" customHeight="1">
      <c r="A43" s="129" t="s">
        <v>31</v>
      </c>
      <c r="B43" s="69"/>
      <c r="C43" s="70"/>
      <c r="D43" s="17">
        <v>3058</v>
      </c>
      <c r="E43" s="17">
        <v>3746</v>
      </c>
      <c r="F43" s="17">
        <v>4681</v>
      </c>
      <c r="G43" s="17">
        <v>5636</v>
      </c>
      <c r="H43" s="17">
        <v>6213</v>
      </c>
      <c r="I43" s="17">
        <v>7348</v>
      </c>
      <c r="J43" s="17">
        <v>8550</v>
      </c>
      <c r="K43" s="157">
        <v>9694</v>
      </c>
      <c r="L43" s="158"/>
      <c r="M43" s="157">
        <v>11068</v>
      </c>
      <c r="N43" s="168"/>
      <c r="O43" s="8" t="e">
        <f>#REF!/4.65</f>
        <v>#REF!</v>
      </c>
      <c r="P43" s="8" t="e">
        <f>#REF!/4.65</f>
        <v>#REF!</v>
      </c>
      <c r="Q43" s="8" t="e">
        <f>#REF!/4.65</f>
        <v>#REF!</v>
      </c>
      <c r="R43" s="8" t="e">
        <f>#REF!/4.65</f>
        <v>#REF!</v>
      </c>
      <c r="S43" s="8" t="e">
        <f>#REF!/4.65</f>
        <v>#REF!</v>
      </c>
      <c r="T43" s="8" t="e">
        <f>#REF!/4.65</f>
        <v>#REF!</v>
      </c>
      <c r="U43" s="8" t="e">
        <f>#REF!/4.65</f>
        <v>#REF!</v>
      </c>
      <c r="V43" s="8" t="e">
        <f>#REF!/4.65</f>
        <v>#REF!</v>
      </c>
      <c r="W43" s="8" t="e">
        <f>#REF!/4.65</f>
        <v>#REF!</v>
      </c>
      <c r="X43" s="8" t="e">
        <f>#REF!/4.65</f>
        <v>#REF!</v>
      </c>
      <c r="Y43" s="8" t="e">
        <f>#REF!/4.65</f>
        <v>#REF!</v>
      </c>
      <c r="Z43" s="8" t="e">
        <f>#REF!/4.65</f>
        <v>#REF!</v>
      </c>
      <c r="AA43" s="8"/>
      <c r="AB43" s="8"/>
    </row>
    <row r="44" spans="1:43" ht="19.5" customHeight="1">
      <c r="A44" s="129" t="s">
        <v>32</v>
      </c>
      <c r="B44" s="69"/>
      <c r="C44" s="70"/>
      <c r="D44" s="17">
        <v>2938</v>
      </c>
      <c r="E44" s="17">
        <v>3730</v>
      </c>
      <c r="F44" s="17">
        <v>4568</v>
      </c>
      <c r="G44" s="17">
        <v>5255</v>
      </c>
      <c r="H44" s="17">
        <v>6147</v>
      </c>
      <c r="I44" s="17">
        <v>7299</v>
      </c>
      <c r="J44" s="17">
        <v>8477</v>
      </c>
      <c r="K44" s="157">
        <v>9041</v>
      </c>
      <c r="L44" s="158"/>
      <c r="M44" s="157">
        <v>10322</v>
      </c>
      <c r="N44" s="168"/>
      <c r="O44" s="8" t="e">
        <f>#REF!/4.65</f>
        <v>#REF!</v>
      </c>
      <c r="P44" s="8" t="e">
        <f>#REF!/4.65</f>
        <v>#REF!</v>
      </c>
      <c r="Q44" s="8" t="e">
        <f>#REF!/4.65</f>
        <v>#REF!</v>
      </c>
      <c r="R44" s="8" t="e">
        <f>#REF!/4.65</f>
        <v>#REF!</v>
      </c>
      <c r="S44" s="8" t="e">
        <f>#REF!/4.65</f>
        <v>#REF!</v>
      </c>
      <c r="T44" s="8" t="e">
        <f>#REF!/4.65</f>
        <v>#REF!</v>
      </c>
      <c r="U44" s="8" t="e">
        <f>#REF!/4.65</f>
        <v>#REF!</v>
      </c>
      <c r="V44" s="8" t="e">
        <f>#REF!/4.65</f>
        <v>#REF!</v>
      </c>
      <c r="W44" s="8" t="e">
        <f>#REF!/4.65</f>
        <v>#REF!</v>
      </c>
      <c r="X44" s="8" t="e">
        <f>#REF!/4.65</f>
        <v>#REF!</v>
      </c>
      <c r="Y44" s="8" t="e">
        <f>#REF!/4.65</f>
        <v>#REF!</v>
      </c>
      <c r="Z44" s="8" t="e">
        <f>#REF!/4.65</f>
        <v>#REF!</v>
      </c>
      <c r="AA44" s="8"/>
      <c r="AB44" s="8"/>
    </row>
    <row r="45" spans="1:43" ht="19.5" customHeight="1">
      <c r="A45" s="129" t="s">
        <v>26</v>
      </c>
      <c r="B45" s="69"/>
      <c r="C45" s="70"/>
      <c r="D45" s="17">
        <v>2687</v>
      </c>
      <c r="E45" s="17">
        <v>3427</v>
      </c>
      <c r="F45" s="17">
        <v>4079</v>
      </c>
      <c r="G45" s="17">
        <v>4834</v>
      </c>
      <c r="H45" s="17">
        <v>5607</v>
      </c>
      <c r="I45" s="17">
        <v>6658</v>
      </c>
      <c r="J45" s="17">
        <v>7330</v>
      </c>
      <c r="K45" s="157">
        <v>8250</v>
      </c>
      <c r="L45" s="158"/>
      <c r="M45" s="157">
        <v>9414</v>
      </c>
      <c r="N45" s="168"/>
      <c r="O45" s="8" t="e">
        <f>#REF!/4.65</f>
        <v>#REF!</v>
      </c>
      <c r="P45" s="8" t="e">
        <f>#REF!/4.65</f>
        <v>#REF!</v>
      </c>
      <c r="Q45" s="8" t="e">
        <f>#REF!/4.65</f>
        <v>#REF!</v>
      </c>
      <c r="R45" s="8" t="e">
        <f>#REF!/4.65</f>
        <v>#REF!</v>
      </c>
      <c r="S45" s="8" t="e">
        <f>#REF!/4.65</f>
        <v>#REF!</v>
      </c>
      <c r="T45" s="8" t="e">
        <f>#REF!/4.65</f>
        <v>#REF!</v>
      </c>
      <c r="U45" s="8" t="e">
        <f>#REF!/4.65</f>
        <v>#REF!</v>
      </c>
      <c r="V45" s="8" t="e">
        <f>#REF!/4.65</f>
        <v>#REF!</v>
      </c>
      <c r="W45" s="8" t="e">
        <f>#REF!/4.65</f>
        <v>#REF!</v>
      </c>
      <c r="X45" s="8" t="e">
        <f>#REF!/4.65</f>
        <v>#REF!</v>
      </c>
      <c r="Y45" s="8" t="e">
        <f>#REF!/4.65</f>
        <v>#REF!</v>
      </c>
      <c r="Z45" s="8" t="e">
        <f>#REF!/4.65</f>
        <v>#REF!</v>
      </c>
      <c r="AA45" s="8"/>
      <c r="AB45" s="8"/>
    </row>
    <row r="46" spans="1:43">
      <c r="A46" s="130" t="s">
        <v>12</v>
      </c>
      <c r="B46" s="71"/>
      <c r="C46" s="72"/>
      <c r="D46" s="5">
        <v>37.04</v>
      </c>
      <c r="E46" s="5">
        <v>24.69</v>
      </c>
      <c r="F46" s="5">
        <v>18.52</v>
      </c>
      <c r="G46" s="5">
        <v>14.81</v>
      </c>
      <c r="H46" s="5">
        <v>12.35</v>
      </c>
      <c r="I46" s="5">
        <v>10.58</v>
      </c>
      <c r="J46" s="5">
        <v>9.26</v>
      </c>
      <c r="K46" s="159">
        <v>8.23</v>
      </c>
      <c r="L46" s="160"/>
      <c r="M46" s="163">
        <v>7.4</v>
      </c>
      <c r="N46" s="164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43" ht="18" customHeight="1">
      <c r="A47" s="131" t="s">
        <v>64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32"/>
      <c r="O47" s="8" t="s">
        <v>67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43" ht="15" customHeight="1">
      <c r="A48" s="114" t="s">
        <v>38</v>
      </c>
      <c r="B48" s="41"/>
      <c r="C48" s="41"/>
      <c r="D48" s="12" t="s">
        <v>16</v>
      </c>
      <c r="E48" s="12" t="s">
        <v>18</v>
      </c>
      <c r="F48" s="12" t="s">
        <v>20</v>
      </c>
      <c r="G48" s="12" t="s">
        <v>22</v>
      </c>
      <c r="H48" s="12" t="s">
        <v>24</v>
      </c>
      <c r="I48" s="12" t="s">
        <v>27</v>
      </c>
      <c r="J48" s="12" t="s">
        <v>33</v>
      </c>
      <c r="K48" s="12" t="s">
        <v>34</v>
      </c>
      <c r="L48" s="12" t="s">
        <v>35</v>
      </c>
      <c r="M48" s="12" t="s">
        <v>36</v>
      </c>
      <c r="N48" s="109" t="s">
        <v>37</v>
      </c>
      <c r="O48" s="8" t="s">
        <v>16</v>
      </c>
      <c r="P48" s="8" t="s">
        <v>18</v>
      </c>
      <c r="Q48" s="8" t="s">
        <v>20</v>
      </c>
      <c r="R48" s="8" t="s">
        <v>22</v>
      </c>
      <c r="S48" s="8" t="s">
        <v>24</v>
      </c>
      <c r="T48" s="8" t="s">
        <v>27</v>
      </c>
      <c r="U48" s="8" t="s">
        <v>33</v>
      </c>
      <c r="V48" s="8" t="s">
        <v>34</v>
      </c>
      <c r="W48" s="8" t="s">
        <v>35</v>
      </c>
      <c r="X48" s="8" t="s">
        <v>36</v>
      </c>
      <c r="Y48" s="8" t="s">
        <v>37</v>
      </c>
      <c r="Z48" s="8"/>
      <c r="AA48" s="8"/>
      <c r="AB48" s="8"/>
    </row>
    <row r="49" spans="1:28" ht="19.5" customHeight="1">
      <c r="A49" s="100" t="s">
        <v>39</v>
      </c>
      <c r="B49" s="39"/>
      <c r="C49" s="39"/>
      <c r="D49" s="14">
        <v>2140</v>
      </c>
      <c r="E49" s="14">
        <v>2880</v>
      </c>
      <c r="F49" s="10">
        <v>3400</v>
      </c>
      <c r="G49" s="10">
        <v>3505</v>
      </c>
      <c r="H49" s="10">
        <v>3505</v>
      </c>
      <c r="I49" s="10">
        <v>4475</v>
      </c>
      <c r="J49" s="14">
        <v>5780</v>
      </c>
      <c r="K49" s="14">
        <v>6490</v>
      </c>
      <c r="L49" s="14">
        <v>7585</v>
      </c>
      <c r="M49" s="14">
        <v>9640</v>
      </c>
      <c r="N49" s="116">
        <v>11025</v>
      </c>
      <c r="O49" s="8" t="e">
        <f>#REF!/2.97</f>
        <v>#REF!</v>
      </c>
      <c r="P49" s="8" t="e">
        <f>#REF!/2.97</f>
        <v>#REF!</v>
      </c>
      <c r="Q49" s="8" t="e">
        <f>#REF!/2.97</f>
        <v>#REF!</v>
      </c>
      <c r="R49" s="8" t="e">
        <f>#REF!/2.97</f>
        <v>#REF!</v>
      </c>
      <c r="S49" s="8" t="e">
        <f>#REF!/2.97</f>
        <v>#REF!</v>
      </c>
      <c r="T49" s="8" t="e">
        <f>#REF!/2.97</f>
        <v>#REF!</v>
      </c>
      <c r="U49" s="8" t="e">
        <f>#REF!/2.97</f>
        <v>#REF!</v>
      </c>
      <c r="V49" s="8" t="e">
        <f>#REF!/2.97</f>
        <v>#REF!</v>
      </c>
      <c r="W49" s="8" t="e">
        <f>#REF!/2.97</f>
        <v>#REF!</v>
      </c>
      <c r="X49" s="8" t="e">
        <f>#REF!/2.97</f>
        <v>#REF!</v>
      </c>
      <c r="Y49" s="8" t="e">
        <f>#REF!/2.97</f>
        <v>#REF!</v>
      </c>
      <c r="Z49" s="8"/>
      <c r="AA49" s="8"/>
      <c r="AB49" s="8"/>
    </row>
    <row r="50" spans="1:28" ht="19.5" customHeight="1">
      <c r="A50" s="100" t="s">
        <v>40</v>
      </c>
      <c r="B50" s="39"/>
      <c r="C50" s="39"/>
      <c r="D50" s="14">
        <v>2240</v>
      </c>
      <c r="E50" s="14">
        <v>3005</v>
      </c>
      <c r="F50" s="14">
        <v>3550</v>
      </c>
      <c r="G50" s="14">
        <v>4040</v>
      </c>
      <c r="H50" s="14">
        <v>4690</v>
      </c>
      <c r="I50" s="14">
        <v>5470</v>
      </c>
      <c r="J50" s="14">
        <v>6025</v>
      </c>
      <c r="K50" s="14">
        <v>7445</v>
      </c>
      <c r="L50" s="14">
        <v>8915</v>
      </c>
      <c r="M50" s="14">
        <v>10110</v>
      </c>
      <c r="N50" s="116">
        <v>11540</v>
      </c>
      <c r="O50" s="8" t="e">
        <f>#REF!/2.97</f>
        <v>#REF!</v>
      </c>
      <c r="P50" s="8" t="e">
        <f>#REF!/2.97</f>
        <v>#REF!</v>
      </c>
      <c r="Q50" s="8" t="e">
        <f>#REF!/2.97</f>
        <v>#REF!</v>
      </c>
      <c r="R50" s="8" t="e">
        <f>#REF!/2.97</f>
        <v>#REF!</v>
      </c>
      <c r="S50" s="8" t="e">
        <f>#REF!/2.97</f>
        <v>#REF!</v>
      </c>
      <c r="T50" s="8" t="e">
        <f>#REF!/2.97</f>
        <v>#REF!</v>
      </c>
      <c r="U50" s="8" t="e">
        <f>#REF!/2.97</f>
        <v>#REF!</v>
      </c>
      <c r="V50" s="8" t="e">
        <f>#REF!/2.97</f>
        <v>#REF!</v>
      </c>
      <c r="W50" s="8" t="e">
        <f>#REF!/2.97</f>
        <v>#REF!</v>
      </c>
      <c r="X50" s="8" t="e">
        <f>#REF!/2.97</f>
        <v>#REF!</v>
      </c>
      <c r="Y50" s="8" t="e">
        <f>#REF!/2.97</f>
        <v>#REF!</v>
      </c>
      <c r="Z50" s="8"/>
      <c r="AA50" s="8"/>
      <c r="AB50" s="8"/>
    </row>
    <row r="51" spans="1:28" ht="12.75" customHeight="1">
      <c r="A51" s="118" t="s">
        <v>12</v>
      </c>
      <c r="B51" s="57"/>
      <c r="C51" s="57"/>
      <c r="D51" s="3">
        <v>55.99</v>
      </c>
      <c r="E51" s="3">
        <v>37.33</v>
      </c>
      <c r="F51" s="3">
        <v>27.99</v>
      </c>
      <c r="G51" s="3">
        <v>22.4</v>
      </c>
      <c r="H51" s="3">
        <v>18.66</v>
      </c>
      <c r="I51" s="3">
        <v>16</v>
      </c>
      <c r="J51" s="3">
        <v>14</v>
      </c>
      <c r="K51" s="3">
        <v>12.44</v>
      </c>
      <c r="L51" s="3">
        <v>11.2</v>
      </c>
      <c r="M51" s="3">
        <v>9.6</v>
      </c>
      <c r="N51" s="111">
        <v>8.4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8" customHeight="1">
      <c r="A52" s="133" t="s">
        <v>65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134"/>
      <c r="O52" s="8" t="s">
        <v>67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" customHeight="1">
      <c r="A53" s="135" t="s">
        <v>38</v>
      </c>
      <c r="B53" s="49"/>
      <c r="C53" s="49"/>
      <c r="D53" s="12" t="s">
        <v>16</v>
      </c>
      <c r="E53" s="89" t="s">
        <v>18</v>
      </c>
      <c r="F53" s="90"/>
      <c r="G53" s="89" t="s">
        <v>20</v>
      </c>
      <c r="H53" s="90"/>
      <c r="I53" s="84" t="s">
        <v>22</v>
      </c>
      <c r="J53" s="77"/>
      <c r="K53" s="84" t="s">
        <v>24</v>
      </c>
      <c r="L53" s="77"/>
      <c r="M53" s="84" t="s">
        <v>27</v>
      </c>
      <c r="N53" s="136"/>
      <c r="O53" s="8" t="s">
        <v>16</v>
      </c>
      <c r="P53" s="8" t="s">
        <v>18</v>
      </c>
      <c r="Q53" s="8" t="s">
        <v>20</v>
      </c>
      <c r="R53" s="8" t="s">
        <v>22</v>
      </c>
      <c r="S53" s="8" t="s">
        <v>24</v>
      </c>
      <c r="T53" s="8" t="s">
        <v>27</v>
      </c>
      <c r="U53" s="8" t="s">
        <v>33</v>
      </c>
      <c r="V53" s="8" t="s">
        <v>34</v>
      </c>
      <c r="W53" s="8" t="s">
        <v>35</v>
      </c>
      <c r="X53" s="8" t="s">
        <v>36</v>
      </c>
      <c r="Y53" s="8" t="s">
        <v>37</v>
      </c>
      <c r="Z53" s="8"/>
      <c r="AA53" s="8"/>
      <c r="AB53" s="8"/>
    </row>
    <row r="54" spans="1:28" ht="19.5" customHeight="1">
      <c r="A54" s="103" t="s">
        <v>39</v>
      </c>
      <c r="B54" s="50"/>
      <c r="C54" s="50"/>
      <c r="D54" s="10">
        <v>3794</v>
      </c>
      <c r="E54" s="85">
        <v>4530</v>
      </c>
      <c r="F54" s="86"/>
      <c r="G54" s="85">
        <v>6035</v>
      </c>
      <c r="H54" s="86"/>
      <c r="I54" s="85">
        <v>6200</v>
      </c>
      <c r="J54" s="86"/>
      <c r="K54" s="85">
        <v>6800</v>
      </c>
      <c r="L54" s="86"/>
      <c r="M54" s="85">
        <v>8600</v>
      </c>
      <c r="N54" s="137"/>
      <c r="O54" s="8" t="e">
        <f>#REF!/4.5</f>
        <v>#REF!</v>
      </c>
      <c r="P54" s="8" t="e">
        <f>#REF!/4.5</f>
        <v>#REF!</v>
      </c>
      <c r="Q54" s="8" t="e">
        <f>#REF!/4.5</f>
        <v>#REF!</v>
      </c>
      <c r="R54" s="8" t="e">
        <f>#REF!/4.5</f>
        <v>#REF!</v>
      </c>
      <c r="S54" s="8" t="e">
        <f>#REF!/4.5</f>
        <v>#REF!</v>
      </c>
      <c r="T54" s="8" t="e">
        <f>#REF!/4.5</f>
        <v>#REF!</v>
      </c>
      <c r="U54" s="8" t="e">
        <f>#REF!/4.5</f>
        <v>#REF!</v>
      </c>
      <c r="V54" s="8" t="e">
        <f>#REF!/4.5</f>
        <v>#REF!</v>
      </c>
      <c r="W54" s="8" t="e">
        <f>#REF!/4.5</f>
        <v>#REF!</v>
      </c>
      <c r="X54" s="8" t="e">
        <f>#REF!/4.5</f>
        <v>#REF!</v>
      </c>
      <c r="Y54" s="8" t="e">
        <f>#REF!/4.5</f>
        <v>#REF!</v>
      </c>
      <c r="Z54" s="8"/>
      <c r="AA54" s="8"/>
      <c r="AB54" s="8"/>
    </row>
    <row r="55" spans="1:28" ht="19.5" customHeight="1">
      <c r="A55" s="103" t="s">
        <v>40</v>
      </c>
      <c r="B55" s="50"/>
      <c r="C55" s="50"/>
      <c r="D55" s="10">
        <v>4007</v>
      </c>
      <c r="E55" s="85">
        <v>4645</v>
      </c>
      <c r="F55" s="86"/>
      <c r="G55" s="85">
        <v>6150</v>
      </c>
      <c r="H55" s="86"/>
      <c r="I55" s="85">
        <v>6350</v>
      </c>
      <c r="J55" s="86"/>
      <c r="K55" s="85">
        <v>7140</v>
      </c>
      <c r="L55" s="86"/>
      <c r="M55" s="85">
        <v>8800</v>
      </c>
      <c r="N55" s="137"/>
      <c r="O55" s="8" t="e">
        <f>#REF!/4.5</f>
        <v>#REF!</v>
      </c>
      <c r="P55" s="8" t="e">
        <f>#REF!/4.5</f>
        <v>#REF!</v>
      </c>
      <c r="Q55" s="8" t="e">
        <f>#REF!/4.5</f>
        <v>#REF!</v>
      </c>
      <c r="R55" s="8" t="e">
        <f>#REF!/4.5</f>
        <v>#REF!</v>
      </c>
      <c r="S55" s="8" t="e">
        <f>#REF!/4.5</f>
        <v>#REF!</v>
      </c>
      <c r="T55" s="8" t="e">
        <f>#REF!/4.5</f>
        <v>#REF!</v>
      </c>
      <c r="U55" s="8" t="e">
        <f>#REF!/4.5</f>
        <v>#REF!</v>
      </c>
      <c r="V55" s="8" t="e">
        <f>#REF!/4.5</f>
        <v>#REF!</v>
      </c>
      <c r="W55" s="8" t="e">
        <f>#REF!/4.5</f>
        <v>#REF!</v>
      </c>
      <c r="X55" s="8" t="e">
        <f>#REF!/4.5</f>
        <v>#REF!</v>
      </c>
      <c r="Y55" s="8" t="e">
        <f>#REF!/4.5</f>
        <v>#REF!</v>
      </c>
      <c r="Z55" s="8"/>
      <c r="AA55" s="8"/>
      <c r="AB55" s="8"/>
    </row>
    <row r="56" spans="1:28">
      <c r="A56" s="138" t="s">
        <v>12</v>
      </c>
      <c r="B56" s="58"/>
      <c r="C56" s="58"/>
      <c r="D56" s="5">
        <v>37.04</v>
      </c>
      <c r="E56" s="91">
        <v>24.69</v>
      </c>
      <c r="F56" s="64"/>
      <c r="G56" s="91">
        <v>18.52</v>
      </c>
      <c r="H56" s="64"/>
      <c r="I56" s="91">
        <v>14.81</v>
      </c>
      <c r="J56" s="64"/>
      <c r="K56" s="87">
        <v>12.35</v>
      </c>
      <c r="L56" s="88"/>
      <c r="M56" s="87">
        <v>10.58</v>
      </c>
      <c r="N56" s="139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8.75">
      <c r="A57" s="107" t="s">
        <v>81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108"/>
      <c r="O57" s="8" t="s">
        <v>67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>
      <c r="A58" s="114" t="s">
        <v>72</v>
      </c>
      <c r="B58" s="42"/>
      <c r="C58" s="42"/>
      <c r="D58" s="56" t="s">
        <v>58</v>
      </c>
      <c r="E58" s="56"/>
      <c r="F58" s="56" t="s">
        <v>2</v>
      </c>
      <c r="G58" s="56"/>
      <c r="H58" s="56" t="s">
        <v>3</v>
      </c>
      <c r="I58" s="56"/>
      <c r="J58" s="56" t="s">
        <v>4</v>
      </c>
      <c r="K58" s="56"/>
      <c r="L58" s="56" t="s">
        <v>5</v>
      </c>
      <c r="M58" s="56"/>
      <c r="N58" s="109" t="s">
        <v>59</v>
      </c>
      <c r="O58" s="8" t="s">
        <v>58</v>
      </c>
      <c r="P58" s="8"/>
      <c r="Q58" s="8" t="s">
        <v>2</v>
      </c>
      <c r="R58" s="8"/>
      <c r="S58" s="8" t="s">
        <v>3</v>
      </c>
      <c r="T58" s="8"/>
      <c r="U58" s="8" t="s">
        <v>4</v>
      </c>
      <c r="V58" s="8"/>
      <c r="W58" s="8" t="s">
        <v>5</v>
      </c>
      <c r="X58" s="8"/>
      <c r="Y58" s="8" t="s">
        <v>59</v>
      </c>
      <c r="Z58" s="8"/>
      <c r="AA58" s="8"/>
      <c r="AB58" s="8"/>
    </row>
    <row r="59" spans="1:28" ht="17.25">
      <c r="A59" s="103" t="s">
        <v>71</v>
      </c>
      <c r="B59" s="50"/>
      <c r="C59" s="50"/>
      <c r="D59" s="79"/>
      <c r="E59" s="80"/>
      <c r="F59" s="81">
        <v>720</v>
      </c>
      <c r="G59" s="78"/>
      <c r="H59" s="81">
        <v>960</v>
      </c>
      <c r="I59" s="78"/>
      <c r="J59" s="79"/>
      <c r="K59" s="80"/>
      <c r="L59" s="79"/>
      <c r="M59" s="80"/>
      <c r="N59" s="109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7.25">
      <c r="A60" s="100" t="s">
        <v>73</v>
      </c>
      <c r="B60" s="40"/>
      <c r="C60" s="40"/>
      <c r="D60" s="40" t="s">
        <v>41</v>
      </c>
      <c r="E60" s="40"/>
      <c r="F60" s="81">
        <v>780</v>
      </c>
      <c r="G60" s="78"/>
      <c r="H60" s="81">
        <v>1050</v>
      </c>
      <c r="I60" s="78"/>
      <c r="J60" s="45" t="s">
        <v>41</v>
      </c>
      <c r="K60" s="45"/>
      <c r="L60" s="45">
        <v>1900</v>
      </c>
      <c r="M60" s="45"/>
      <c r="N60" s="140">
        <v>2625</v>
      </c>
      <c r="O60" s="8"/>
      <c r="P60" s="8"/>
      <c r="Q60" s="8">
        <f>F60/3.125</f>
        <v>249.6</v>
      </c>
      <c r="R60" s="8"/>
      <c r="S60" s="8">
        <f t="shared" ref="S60" si="4">H60/3.125</f>
        <v>336</v>
      </c>
      <c r="T60" s="8"/>
      <c r="U60" s="8"/>
      <c r="V60" s="8"/>
      <c r="W60" s="8"/>
      <c r="X60" s="8"/>
      <c r="Y60" s="8"/>
      <c r="Z60" s="8"/>
      <c r="AA60" s="8"/>
      <c r="AB60" s="8"/>
    </row>
    <row r="61" spans="1:28" ht="17.25">
      <c r="A61" s="103" t="s">
        <v>74</v>
      </c>
      <c r="B61" s="50"/>
      <c r="C61" s="78"/>
      <c r="D61" s="81"/>
      <c r="E61" s="78"/>
      <c r="F61" s="81">
        <v>850</v>
      </c>
      <c r="G61" s="78"/>
      <c r="H61" s="81">
        <v>1150</v>
      </c>
      <c r="I61" s="78"/>
      <c r="J61" s="46"/>
      <c r="K61" s="47"/>
      <c r="L61" s="46"/>
      <c r="M61" s="47"/>
      <c r="N61" s="14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>
      <c r="A62" s="114" t="s">
        <v>12</v>
      </c>
      <c r="B62" s="42"/>
      <c r="C62" s="42"/>
      <c r="D62" s="52">
        <v>53.19</v>
      </c>
      <c r="E62" s="52"/>
      <c r="F62" s="52">
        <v>35.56</v>
      </c>
      <c r="G62" s="52"/>
      <c r="H62" s="52">
        <v>26.66</v>
      </c>
      <c r="I62" s="52"/>
      <c r="J62" s="52">
        <v>21.33</v>
      </c>
      <c r="K62" s="52"/>
      <c r="L62" s="52">
        <v>17.78</v>
      </c>
      <c r="M62" s="52"/>
      <c r="N62" s="111">
        <v>15.27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8.75">
      <c r="A63" s="107" t="s">
        <v>46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10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>
      <c r="A64" s="114" t="s">
        <v>42</v>
      </c>
      <c r="B64" s="41"/>
      <c r="C64" s="41"/>
      <c r="D64" s="42" t="s">
        <v>43</v>
      </c>
      <c r="E64" s="42"/>
      <c r="F64" s="42"/>
      <c r="G64" s="42" t="s">
        <v>12</v>
      </c>
      <c r="H64" s="42"/>
      <c r="I64" s="42" t="s">
        <v>44</v>
      </c>
      <c r="J64" s="42"/>
      <c r="K64" s="42" t="s">
        <v>47</v>
      </c>
      <c r="L64" s="42"/>
      <c r="M64" s="43" t="s">
        <v>45</v>
      </c>
      <c r="N64" s="141"/>
      <c r="O64" s="8" t="s">
        <v>67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7.25">
      <c r="A65" s="142" t="s">
        <v>56</v>
      </c>
      <c r="B65" s="51"/>
      <c r="C65" s="51"/>
      <c r="D65" s="83" t="s">
        <v>66</v>
      </c>
      <c r="E65" s="83"/>
      <c r="F65" s="83"/>
      <c r="G65" s="45">
        <v>18.66</v>
      </c>
      <c r="H65" s="45"/>
      <c r="I65" s="46">
        <v>2.9769999999999999</v>
      </c>
      <c r="J65" s="47"/>
      <c r="K65" s="45" t="s">
        <v>48</v>
      </c>
      <c r="L65" s="45"/>
      <c r="M65" s="73" t="s">
        <v>41</v>
      </c>
      <c r="N65" s="143"/>
      <c r="O65" s="8" t="e">
        <f>M65/2.97</f>
        <v>#VALUE!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7.25">
      <c r="A66" s="144" t="s">
        <v>56</v>
      </c>
      <c r="B66" s="36"/>
      <c r="C66" s="36"/>
      <c r="D66" s="36" t="s">
        <v>69</v>
      </c>
      <c r="E66" s="36"/>
      <c r="F66" s="36"/>
      <c r="G66" s="34">
        <v>13.4</v>
      </c>
      <c r="H66" s="35"/>
      <c r="I66" s="34">
        <v>4.46</v>
      </c>
      <c r="J66" s="35"/>
      <c r="K66" s="34" t="s">
        <v>48</v>
      </c>
      <c r="L66" s="35"/>
      <c r="M66" s="36">
        <v>1560</v>
      </c>
      <c r="N66" s="145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8.75">
      <c r="A67" s="107" t="s">
        <v>49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10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>
      <c r="A68" s="114" t="s">
        <v>42</v>
      </c>
      <c r="B68" s="41"/>
      <c r="C68" s="41"/>
      <c r="D68" s="42" t="s">
        <v>50</v>
      </c>
      <c r="E68" s="42"/>
      <c r="F68" s="42"/>
      <c r="G68" s="42" t="s">
        <v>12</v>
      </c>
      <c r="H68" s="42"/>
      <c r="I68" s="42" t="s">
        <v>44</v>
      </c>
      <c r="J68" s="42"/>
      <c r="K68" s="42" t="s">
        <v>47</v>
      </c>
      <c r="L68" s="42"/>
      <c r="M68" s="43" t="s">
        <v>45</v>
      </c>
      <c r="N68" s="141"/>
      <c r="O68" s="8" t="s">
        <v>67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7.25">
      <c r="A69" s="142" t="s">
        <v>51</v>
      </c>
      <c r="B69" s="51"/>
      <c r="C69" s="51"/>
      <c r="D69" s="45" t="s">
        <v>52</v>
      </c>
      <c r="E69" s="45"/>
      <c r="F69" s="45"/>
      <c r="G69" s="45">
        <v>135.13</v>
      </c>
      <c r="H69" s="45"/>
      <c r="I69" s="45">
        <v>2.9769999999999999</v>
      </c>
      <c r="J69" s="45"/>
      <c r="K69" s="45" t="s">
        <v>53</v>
      </c>
      <c r="L69" s="45"/>
      <c r="M69" s="38">
        <v>250</v>
      </c>
      <c r="N69" s="146"/>
      <c r="O69" s="8">
        <f t="shared" ref="O69" si="5">M69/2.97</f>
        <v>84.175084175084166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7.25">
      <c r="A70" s="100" t="s">
        <v>51</v>
      </c>
      <c r="B70" s="39"/>
      <c r="C70" s="39"/>
      <c r="D70" s="40" t="s">
        <v>54</v>
      </c>
      <c r="E70" s="40"/>
      <c r="F70" s="40"/>
      <c r="G70" s="40">
        <v>85.56</v>
      </c>
      <c r="H70" s="40"/>
      <c r="I70" s="40">
        <v>4.6749999999999998</v>
      </c>
      <c r="J70" s="40"/>
      <c r="K70" s="40" t="s">
        <v>55</v>
      </c>
      <c r="L70" s="40"/>
      <c r="M70" s="38">
        <v>400</v>
      </c>
      <c r="N70" s="146"/>
      <c r="O70" s="8">
        <f>M70/4.675</f>
        <v>85.561497326203209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7.25">
      <c r="A71" s="100" t="s">
        <v>51</v>
      </c>
      <c r="B71" s="39"/>
      <c r="C71" s="39"/>
      <c r="D71" s="40" t="s">
        <v>75</v>
      </c>
      <c r="E71" s="40"/>
      <c r="F71" s="40"/>
      <c r="G71" s="40">
        <v>66.849999999999994</v>
      </c>
      <c r="H71" s="40"/>
      <c r="I71" s="40">
        <v>4.6749999999999998</v>
      </c>
      <c r="J71" s="40"/>
      <c r="K71" s="40" t="s">
        <v>55</v>
      </c>
      <c r="L71" s="40"/>
      <c r="M71" s="38">
        <v>400</v>
      </c>
      <c r="N71" s="146"/>
      <c r="O71" s="8">
        <f>M71/4.675</f>
        <v>85.561497326203209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7.25">
      <c r="A72" s="100" t="s">
        <v>76</v>
      </c>
      <c r="B72" s="39"/>
      <c r="C72" s="39"/>
      <c r="D72" s="40" t="s">
        <v>70</v>
      </c>
      <c r="E72" s="40"/>
      <c r="F72" s="40"/>
      <c r="G72" s="40">
        <v>50.41</v>
      </c>
      <c r="H72" s="40"/>
      <c r="I72" s="40">
        <v>3.3062</v>
      </c>
      <c r="J72" s="40"/>
      <c r="K72" s="40" t="s">
        <v>53</v>
      </c>
      <c r="L72" s="40"/>
      <c r="M72" s="38">
        <v>550</v>
      </c>
      <c r="N72" s="146"/>
      <c r="O72" s="8">
        <f>M72/3.3062</f>
        <v>166.35412255761901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8.75">
      <c r="A73" s="147" t="s">
        <v>82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148"/>
    </row>
    <row r="74" spans="1:28">
      <c r="A74" s="114" t="s">
        <v>43</v>
      </c>
      <c r="B74" s="42"/>
      <c r="C74" s="42"/>
      <c r="D74" s="3">
        <v>6</v>
      </c>
      <c r="E74" s="3">
        <v>8</v>
      </c>
      <c r="F74" s="3">
        <v>10</v>
      </c>
      <c r="G74" s="3">
        <v>16</v>
      </c>
      <c r="H74" s="3">
        <v>18</v>
      </c>
      <c r="I74" s="3">
        <v>19</v>
      </c>
      <c r="J74" s="3">
        <v>22</v>
      </c>
      <c r="K74" s="3">
        <v>28</v>
      </c>
      <c r="L74" s="3" t="s">
        <v>60</v>
      </c>
      <c r="M74" s="52" t="s">
        <v>61</v>
      </c>
      <c r="N74" s="149"/>
    </row>
    <row r="75" spans="1:28" ht="17.25">
      <c r="A75" s="100" t="s">
        <v>68</v>
      </c>
      <c r="B75" s="40"/>
      <c r="C75" s="40"/>
      <c r="D75" s="13">
        <v>1341</v>
      </c>
      <c r="E75" s="13">
        <v>1915</v>
      </c>
      <c r="F75" s="13">
        <v>2381</v>
      </c>
      <c r="G75" s="13">
        <v>3975</v>
      </c>
      <c r="H75" s="13">
        <v>4137</v>
      </c>
      <c r="I75" s="13">
        <v>4326</v>
      </c>
      <c r="J75" s="13">
        <v>5266</v>
      </c>
      <c r="K75" s="13" t="s">
        <v>41</v>
      </c>
      <c r="L75" s="13" t="s">
        <v>41</v>
      </c>
      <c r="M75" s="46" t="s">
        <v>41</v>
      </c>
      <c r="N75" s="150"/>
    </row>
    <row r="76" spans="1:28" ht="15.75" thickBot="1">
      <c r="A76" s="151" t="s">
        <v>12</v>
      </c>
      <c r="B76" s="152"/>
      <c r="C76" s="152"/>
      <c r="D76" s="153">
        <v>31.34</v>
      </c>
      <c r="E76" s="153">
        <v>21.57</v>
      </c>
      <c r="F76" s="153">
        <v>17.25</v>
      </c>
      <c r="G76" s="153">
        <v>10.78</v>
      </c>
      <c r="H76" s="153">
        <v>9.59</v>
      </c>
      <c r="I76" s="153">
        <v>9.08</v>
      </c>
      <c r="J76" s="153">
        <v>6.9</v>
      </c>
      <c r="K76" s="153">
        <v>6.16</v>
      </c>
      <c r="L76" s="153">
        <v>10.78</v>
      </c>
      <c r="M76" s="154">
        <v>10.78</v>
      </c>
      <c r="N76" s="155"/>
    </row>
    <row r="77" spans="1:28" ht="18" customHeight="1"/>
    <row r="78" spans="1:28" ht="16.350000000000001" customHeight="1"/>
    <row r="79" spans="1:28" ht="15.75" customHeight="1"/>
    <row r="80" spans="1:28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6.350000000000001" customHeight="1"/>
    <row r="82" ht="16.350000000000001" customHeight="1"/>
    <row r="83" ht="16.350000000000001" customHeight="1"/>
  </sheetData>
  <mergeCells count="164">
    <mergeCell ref="K39:L39"/>
    <mergeCell ref="K40:L40"/>
    <mergeCell ref="K41:L41"/>
    <mergeCell ref="K42:L42"/>
    <mergeCell ref="K43:L43"/>
    <mergeCell ref="K44:L44"/>
    <mergeCell ref="K45:L45"/>
    <mergeCell ref="K46:L46"/>
    <mergeCell ref="M40:N40"/>
    <mergeCell ref="M41:N41"/>
    <mergeCell ref="M42:N42"/>
    <mergeCell ref="M43:N43"/>
    <mergeCell ref="M44:N44"/>
    <mergeCell ref="M45:N45"/>
    <mergeCell ref="M39:N39"/>
    <mergeCell ref="M46:N46"/>
    <mergeCell ref="I53:J53"/>
    <mergeCell ref="I54:J54"/>
    <mergeCell ref="I55:J55"/>
    <mergeCell ref="I56:J56"/>
    <mergeCell ref="G53:H53"/>
    <mergeCell ref="G54:H54"/>
    <mergeCell ref="G55:H55"/>
    <mergeCell ref="G56:H56"/>
    <mergeCell ref="E53:F53"/>
    <mergeCell ref="E54:F54"/>
    <mergeCell ref="E55:F55"/>
    <mergeCell ref="E56:F56"/>
    <mergeCell ref="L59:M59"/>
    <mergeCell ref="L61:M61"/>
    <mergeCell ref="M75:N75"/>
    <mergeCell ref="M53:N53"/>
    <mergeCell ref="M54:N54"/>
    <mergeCell ref="M55:N55"/>
    <mergeCell ref="M56:N56"/>
    <mergeCell ref="K53:L53"/>
    <mergeCell ref="K54:L54"/>
    <mergeCell ref="K55:L55"/>
    <mergeCell ref="K56:L56"/>
    <mergeCell ref="A59:C59"/>
    <mergeCell ref="A61:C61"/>
    <mergeCell ref="D59:E59"/>
    <mergeCell ref="D61:E61"/>
    <mergeCell ref="F59:G59"/>
    <mergeCell ref="F61:G61"/>
    <mergeCell ref="H59:I59"/>
    <mergeCell ref="H61:I61"/>
    <mergeCell ref="J59:K59"/>
    <mergeCell ref="J61:K61"/>
    <mergeCell ref="D66:F66"/>
    <mergeCell ref="G66:H66"/>
    <mergeCell ref="I66:J66"/>
    <mergeCell ref="A25:C25"/>
    <mergeCell ref="A26:C26"/>
    <mergeCell ref="A12:E12"/>
    <mergeCell ref="A67:N67"/>
    <mergeCell ref="D58:E58"/>
    <mergeCell ref="F58:G58"/>
    <mergeCell ref="H58:I58"/>
    <mergeCell ref="G64:H64"/>
    <mergeCell ref="I64:J64"/>
    <mergeCell ref="K64:L64"/>
    <mergeCell ref="M64:N64"/>
    <mergeCell ref="A63:N63"/>
    <mergeCell ref="A60:C60"/>
    <mergeCell ref="D60:E60"/>
    <mergeCell ref="F60:G60"/>
    <mergeCell ref="H60:I60"/>
    <mergeCell ref="J60:K60"/>
    <mergeCell ref="L60:M60"/>
    <mergeCell ref="A66:C66"/>
    <mergeCell ref="K65:L65"/>
    <mergeCell ref="M65:N65"/>
    <mergeCell ref="A65:C65"/>
    <mergeCell ref="A64:C64"/>
    <mergeCell ref="A16:E16"/>
    <mergeCell ref="A17:N17"/>
    <mergeCell ref="A21:N21"/>
    <mergeCell ref="A22:C22"/>
    <mergeCell ref="A23:C23"/>
    <mergeCell ref="A24:C24"/>
    <mergeCell ref="A51:C51"/>
    <mergeCell ref="D64:F64"/>
    <mergeCell ref="A39:C39"/>
    <mergeCell ref="A40:C40"/>
    <mergeCell ref="A41:C41"/>
    <mergeCell ref="A42:C42"/>
    <mergeCell ref="A43:C43"/>
    <mergeCell ref="A44:C44"/>
    <mergeCell ref="A45:C45"/>
    <mergeCell ref="A46:C46"/>
    <mergeCell ref="A18:B18"/>
    <mergeCell ref="A19:B19"/>
    <mergeCell ref="A20:B20"/>
    <mergeCell ref="A10:N10"/>
    <mergeCell ref="A11:E11"/>
    <mergeCell ref="A13:E13"/>
    <mergeCell ref="A14:E14"/>
    <mergeCell ref="A15:E15"/>
    <mergeCell ref="J58:K58"/>
    <mergeCell ref="L58:M58"/>
    <mergeCell ref="A62:C62"/>
    <mergeCell ref="D62:E62"/>
    <mergeCell ref="F62:G62"/>
    <mergeCell ref="H62:I62"/>
    <mergeCell ref="J62:K62"/>
    <mergeCell ref="L62:M62"/>
    <mergeCell ref="A27:C27"/>
    <mergeCell ref="A28:C28"/>
    <mergeCell ref="A29:N29"/>
    <mergeCell ref="A55:C55"/>
    <mergeCell ref="A56:C56"/>
    <mergeCell ref="A52:N52"/>
    <mergeCell ref="A47:N47"/>
    <mergeCell ref="A48:C48"/>
    <mergeCell ref="A49:C49"/>
    <mergeCell ref="A50:C50"/>
    <mergeCell ref="A75:C75"/>
    <mergeCell ref="A76:C76"/>
    <mergeCell ref="M76:N76"/>
    <mergeCell ref="A69:C69"/>
    <mergeCell ref="D69:F69"/>
    <mergeCell ref="G69:H69"/>
    <mergeCell ref="I69:J69"/>
    <mergeCell ref="K69:L69"/>
    <mergeCell ref="M69:N69"/>
    <mergeCell ref="A74:C74"/>
    <mergeCell ref="M74:N74"/>
    <mergeCell ref="A72:C72"/>
    <mergeCell ref="D72:F72"/>
    <mergeCell ref="G72:H72"/>
    <mergeCell ref="I72:J72"/>
    <mergeCell ref="K72:L72"/>
    <mergeCell ref="M72:N72"/>
    <mergeCell ref="A73:N73"/>
    <mergeCell ref="A71:C71"/>
    <mergeCell ref="D71:F71"/>
    <mergeCell ref="G71:H71"/>
    <mergeCell ref="I71:J71"/>
    <mergeCell ref="K71:L71"/>
    <mergeCell ref="K66:L66"/>
    <mergeCell ref="M66:N66"/>
    <mergeCell ref="O10:P10"/>
    <mergeCell ref="M71:N71"/>
    <mergeCell ref="A70:C70"/>
    <mergeCell ref="D70:F70"/>
    <mergeCell ref="G70:H70"/>
    <mergeCell ref="I70:J70"/>
    <mergeCell ref="K70:L70"/>
    <mergeCell ref="M70:N70"/>
    <mergeCell ref="A68:C68"/>
    <mergeCell ref="D68:F68"/>
    <mergeCell ref="G68:H68"/>
    <mergeCell ref="I68:J68"/>
    <mergeCell ref="K68:L68"/>
    <mergeCell ref="M68:N68"/>
    <mergeCell ref="A57:N57"/>
    <mergeCell ref="A58:C58"/>
    <mergeCell ref="D65:F65"/>
    <mergeCell ref="G65:H65"/>
    <mergeCell ref="I65:J65"/>
    <mergeCell ref="A38:N38"/>
    <mergeCell ref="A53:C53"/>
    <mergeCell ref="A54:C54"/>
  </mergeCells>
  <printOptions horizontalCentered="1" verticalCentered="1"/>
  <pageMargins left="0" right="0" top="0" bottom="0" header="0" footer="0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2026-03-13T08:08:22Z</cp:lastPrinted>
  <dcterms:created xsi:type="dcterms:W3CDTF">2018-07-12T07:29:15Z</dcterms:created>
  <dcterms:modified xsi:type="dcterms:W3CDTF">2026-03-13T08:08:37Z</dcterms:modified>
</cp:coreProperties>
</file>